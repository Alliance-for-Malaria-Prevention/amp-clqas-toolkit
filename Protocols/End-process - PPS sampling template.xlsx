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tropichealthcom.sharepoint.com/sites/Projects77/Projects  Open/C033 - OPITACA/60 - Implementation/WS3 - Data and cLQAS/TH adaptable tools/Protocols/"/>
    </mc:Choice>
  </mc:AlternateContent>
  <xr:revisionPtr revIDLastSave="0" documentId="14_{C29C8EE8-EAF7-4450-B626-E6CADB0CBBA6}" xr6:coauthVersionLast="47" xr6:coauthVersionMax="47" xr10:uidLastSave="{00000000-0000-0000-0000-000000000000}"/>
  <bookViews>
    <workbookView xWindow="-75" yWindow="-16320" windowWidth="29040" windowHeight="16440" xr2:uid="{4048C6D0-0463-4DD0-B4F2-B9996A947631}"/>
  </bookViews>
  <sheets>
    <sheet name="Instructions for use" sheetId="4" r:id="rId1"/>
    <sheet name="Example sampling worksheet" sheetId="3" r:id="rId2"/>
    <sheet name="AMP PPS sampling template"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8" i="3" l="1"/>
  <c r="L17" i="3"/>
  <c r="L16" i="3"/>
  <c r="L15" i="3"/>
  <c r="L14" i="3"/>
  <c r="L14" i="6"/>
  <c r="L13" i="3"/>
  <c r="L13" i="6"/>
  <c r="L8" i="3"/>
  <c r="L8" i="6"/>
  <c r="L7" i="3"/>
  <c r="L7" i="6"/>
  <c r="L5" i="3"/>
  <c r="L5" i="6"/>
  <c r="L18" i="6"/>
  <c r="N11" i="6"/>
  <c r="N11" i="3"/>
  <c r="G3" i="3"/>
  <c r="G4" i="3" s="1"/>
  <c r="L15" i="6" l="1"/>
  <c r="L16" i="6"/>
  <c r="L17" i="6"/>
  <c r="Q13" i="6"/>
  <c r="O13" i="6"/>
  <c r="P13" i="6"/>
  <c r="M13" i="6"/>
  <c r="O13" i="3"/>
  <c r="G5" i="3"/>
  <c r="G6" i="3" s="1"/>
  <c r="G7" i="3" s="1"/>
  <c r="G8" i="3" s="1"/>
  <c r="G9" i="3" s="1"/>
  <c r="G10" i="3" s="1"/>
  <c r="G11" i="3" s="1"/>
  <c r="G12" i="3" s="1"/>
  <c r="G13" i="3" s="1"/>
  <c r="G14" i="3" s="1"/>
  <c r="G15" i="3" s="1"/>
  <c r="G16" i="3" s="1"/>
  <c r="G17" i="3" s="1"/>
  <c r="G18" i="3" s="1"/>
  <c r="G19" i="3" s="1"/>
  <c r="G20" i="3" s="1"/>
  <c r="G21" i="3" s="1"/>
  <c r="G22" i="3" s="1"/>
  <c r="G23" i="3" s="1"/>
  <c r="G24" i="3" s="1"/>
  <c r="G25" i="3" s="1"/>
  <c r="G26" i="3" s="1"/>
  <c r="G27" i="3" s="1"/>
  <c r="G28" i="3" s="1"/>
  <c r="G29" i="3" s="1"/>
  <c r="G30" i="3" s="1"/>
  <c r="G31" i="3" s="1"/>
  <c r="G32" i="3" s="1"/>
  <c r="G33" i="3" s="1"/>
  <c r="G34" i="3" s="1"/>
  <c r="G35" i="3" s="1"/>
  <c r="G36" i="3" s="1"/>
  <c r="G37" i="3" s="1"/>
  <c r="G38" i="3" s="1"/>
  <c r="G39" i="3" s="1"/>
  <c r="G40" i="3" s="1"/>
  <c r="G41" i="3" s="1"/>
  <c r="G42" i="3" s="1"/>
  <c r="G43" i="3" s="1"/>
  <c r="G44" i="3" s="1"/>
  <c r="G45" i="3" s="1"/>
  <c r="G46" i="3" s="1"/>
  <c r="G47" i="3" s="1"/>
  <c r="G48" i="3" s="1"/>
  <c r="G49" i="3" s="1"/>
  <c r="G50" i="3" s="1"/>
  <c r="G51" i="3" s="1"/>
  <c r="G52" i="3" s="1"/>
  <c r="G53" i="3" s="1"/>
  <c r="G54" i="3" s="1"/>
  <c r="G55" i="3" s="1"/>
  <c r="G56" i="3" s="1"/>
  <c r="G57" i="3" s="1"/>
  <c r="G58" i="3" s="1"/>
  <c r="G59" i="3" s="1"/>
  <c r="G60" i="3" s="1"/>
  <c r="G61" i="3" s="1"/>
  <c r="G62" i="3" s="1"/>
  <c r="G63" i="3" s="1"/>
  <c r="G64" i="3" s="1"/>
  <c r="G65" i="3" s="1"/>
  <c r="G66" i="3" s="1"/>
  <c r="G67" i="3" s="1"/>
  <c r="G68" i="3" s="1"/>
  <c r="G69" i="3" s="1"/>
  <c r="G70" i="3" s="1"/>
  <c r="G71" i="3" s="1"/>
  <c r="G72" i="3" s="1"/>
  <c r="G73" i="3" s="1"/>
  <c r="G74" i="3" s="1"/>
  <c r="G75" i="3" s="1"/>
  <c r="G76" i="3" s="1"/>
  <c r="G77" i="3" s="1"/>
  <c r="G78" i="3" s="1"/>
  <c r="G79" i="3" s="1"/>
  <c r="G80" i="3" s="1"/>
  <c r="G81" i="3" s="1"/>
  <c r="G82" i="3" s="1"/>
  <c r="G83" i="3" s="1"/>
  <c r="G84" i="3" s="1"/>
  <c r="G85" i="3" s="1"/>
  <c r="G86" i="3" s="1"/>
  <c r="G87" i="3" s="1"/>
  <c r="G88" i="3" s="1"/>
  <c r="G89" i="3" s="1"/>
  <c r="G90" i="3" s="1"/>
  <c r="G91" i="3" s="1"/>
  <c r="G92" i="3" s="1"/>
  <c r="G93" i="3" s="1"/>
  <c r="G94" i="3" s="1"/>
  <c r="G95" i="3" s="1"/>
  <c r="G96" i="3" s="1"/>
  <c r="G97" i="3" s="1"/>
  <c r="G98" i="3" s="1"/>
  <c r="G99" i="3" s="1"/>
  <c r="G100" i="3" s="1"/>
  <c r="G101" i="3" s="1"/>
  <c r="G102" i="3" s="1"/>
  <c r="G103" i="3" s="1"/>
  <c r="G104" i="3" s="1"/>
  <c r="G105" i="3" s="1"/>
  <c r="G106" i="3" s="1"/>
  <c r="G107" i="3" s="1"/>
  <c r="G108" i="3" s="1"/>
  <c r="G109" i="3" s="1"/>
  <c r="G110" i="3" s="1"/>
  <c r="G111" i="3" s="1"/>
  <c r="G112" i="3" s="1"/>
  <c r="G113" i="3" s="1"/>
  <c r="G114" i="3" s="1"/>
  <c r="G115" i="3" s="1"/>
  <c r="G116" i="3" s="1"/>
  <c r="G117" i="3" s="1"/>
  <c r="G118" i="3" s="1"/>
  <c r="G119" i="3" s="1"/>
  <c r="G120" i="3" s="1"/>
  <c r="G121" i="3" s="1"/>
  <c r="G122" i="3" s="1"/>
  <c r="G123" i="3" s="1"/>
  <c r="G124" i="3" s="1"/>
  <c r="G125" i="3" s="1"/>
  <c r="G126" i="3" s="1"/>
  <c r="G127" i="3" s="1"/>
  <c r="G128" i="3" s="1"/>
  <c r="G129" i="3" s="1"/>
  <c r="G130" i="3" s="1"/>
  <c r="G131" i="3" s="1"/>
  <c r="G132" i="3" s="1"/>
  <c r="G133" i="3" s="1"/>
  <c r="G134" i="3" s="1"/>
  <c r="G135" i="3" s="1"/>
  <c r="G136" i="3" s="1"/>
  <c r="G137" i="3" s="1"/>
  <c r="G138" i="3" s="1"/>
  <c r="G139" i="3" s="1"/>
  <c r="G140" i="3" s="1"/>
  <c r="G141" i="3" s="1"/>
  <c r="G142" i="3" s="1"/>
  <c r="G143" i="3" s="1"/>
  <c r="G144" i="3" s="1"/>
  <c r="G145" i="3" s="1"/>
  <c r="G146" i="3" s="1"/>
  <c r="G147" i="3" s="1"/>
  <c r="G148" i="3" s="1"/>
  <c r="G149" i="3" s="1"/>
  <c r="G150" i="3" s="1"/>
  <c r="G151" i="3" s="1"/>
  <c r="G152" i="3" s="1"/>
  <c r="G153" i="3" s="1"/>
  <c r="G154" i="3" s="1"/>
  <c r="G155" i="3" s="1"/>
  <c r="G156" i="3" s="1"/>
  <c r="G157" i="3" s="1"/>
  <c r="G158" i="3" s="1"/>
  <c r="G159" i="3" s="1"/>
  <c r="G160" i="3" s="1"/>
  <c r="G161" i="3" s="1"/>
  <c r="G162" i="3" s="1"/>
  <c r="G163" i="3" s="1"/>
  <c r="G164" i="3" s="1"/>
  <c r="G165" i="3" s="1"/>
  <c r="G166" i="3" s="1"/>
  <c r="G167" i="3" s="1"/>
  <c r="G168" i="3" s="1"/>
  <c r="G169" i="3" s="1"/>
  <c r="G170" i="3" s="1"/>
  <c r="G171" i="3" s="1"/>
  <c r="G172" i="3" s="1"/>
  <c r="G173" i="3" s="1"/>
  <c r="G174" i="3" s="1"/>
  <c r="G175" i="3" s="1"/>
  <c r="G176" i="3" s="1"/>
  <c r="G177" i="3" s="1"/>
  <c r="G178" i="3" s="1"/>
  <c r="G179" i="3" s="1"/>
  <c r="G180" i="3" s="1"/>
  <c r="G181" i="3" s="1"/>
  <c r="G182" i="3" s="1"/>
  <c r="G183" i="3" s="1"/>
  <c r="G184" i="3" s="1"/>
  <c r="G185" i="3" s="1"/>
  <c r="G186" i="3" s="1"/>
  <c r="G187" i="3" s="1"/>
  <c r="G188" i="3" s="1"/>
  <c r="G189" i="3" s="1"/>
  <c r="G190" i="3" s="1"/>
  <c r="G191" i="3" s="1"/>
  <c r="G192" i="3" s="1"/>
  <c r="G193" i="3" s="1"/>
  <c r="G194" i="3" s="1"/>
  <c r="G195" i="3" s="1"/>
  <c r="G196" i="3" s="1"/>
  <c r="G197" i="3" s="1"/>
  <c r="G198" i="3" s="1"/>
  <c r="G199" i="3" s="1"/>
  <c r="G200" i="3" s="1"/>
  <c r="G201" i="3" s="1"/>
  <c r="G202" i="3" s="1"/>
  <c r="G203" i="3" s="1"/>
  <c r="G204" i="3" s="1"/>
  <c r="G205" i="3" s="1"/>
  <c r="G206" i="3" s="1"/>
  <c r="G207" i="3" s="1"/>
  <c r="G208" i="3" s="1"/>
  <c r="G209" i="3" s="1"/>
  <c r="G210" i="3" s="1"/>
  <c r="G211" i="3" s="1"/>
  <c r="G212" i="3" s="1"/>
  <c r="G213" i="3" s="1"/>
  <c r="G214" i="3" s="1"/>
  <c r="G215" i="3" s="1"/>
  <c r="G216" i="3" s="1"/>
  <c r="G217" i="3" s="1"/>
  <c r="G218" i="3" s="1"/>
  <c r="G219" i="3" s="1"/>
  <c r="G220" i="3" s="1"/>
  <c r="G221" i="3" s="1"/>
  <c r="G222" i="3" s="1"/>
  <c r="G223" i="3" s="1"/>
  <c r="G224" i="3" s="1"/>
  <c r="G225" i="3" s="1"/>
  <c r="G226" i="3" s="1"/>
  <c r="G227" i="3" s="1"/>
  <c r="G228" i="3" s="1"/>
  <c r="G229" i="3" s="1"/>
  <c r="G230" i="3" s="1"/>
  <c r="G231" i="3" s="1"/>
  <c r="G232" i="3" s="1"/>
  <c r="G233" i="3" s="1"/>
  <c r="G234" i="3" s="1"/>
  <c r="G235" i="3" s="1"/>
  <c r="G236" i="3" s="1"/>
  <c r="G237" i="3" s="1"/>
  <c r="G238" i="3" s="1"/>
  <c r="G239" i="3" s="1"/>
  <c r="G240" i="3" s="1"/>
  <c r="G241" i="3" s="1"/>
  <c r="G242" i="3" s="1"/>
  <c r="G243" i="3" s="1"/>
  <c r="G244" i="3" s="1"/>
  <c r="G245" i="3" s="1"/>
  <c r="G246" i="3" s="1"/>
  <c r="G247" i="3" s="1"/>
  <c r="G248" i="3" s="1"/>
  <c r="G249" i="3" s="1"/>
  <c r="G250" i="3" s="1"/>
  <c r="G251" i="3" s="1"/>
  <c r="G252" i="3" s="1"/>
  <c r="G253" i="3" s="1"/>
  <c r="G254" i="3" s="1"/>
  <c r="G255" i="3" s="1"/>
  <c r="G256" i="3" s="1"/>
  <c r="G257" i="3" s="1"/>
  <c r="G258" i="3" s="1"/>
  <c r="G259" i="3" s="1"/>
  <c r="G260" i="3" s="1"/>
  <c r="G261" i="3" s="1"/>
  <c r="G262" i="3" s="1"/>
  <c r="G263" i="3" s="1"/>
  <c r="G264" i="3" s="1"/>
  <c r="G265" i="3" s="1"/>
  <c r="G266" i="3" s="1"/>
  <c r="G267" i="3" s="1"/>
  <c r="G268" i="3" s="1"/>
  <c r="G269" i="3" s="1"/>
  <c r="G270" i="3" s="1"/>
  <c r="G271" i="3" s="1"/>
  <c r="G272" i="3" s="1"/>
  <c r="G273" i="3" s="1"/>
  <c r="G274" i="3" s="1"/>
  <c r="M13" i="3" l="1"/>
  <c r="Q13" i="3"/>
  <c r="P13" i="3"/>
  <c r="Q14" i="6" l="1"/>
  <c r="P14" i="6"/>
  <c r="O14" i="6"/>
  <c r="M14" i="6"/>
  <c r="Q15" i="6" l="1"/>
  <c r="P15" i="6"/>
  <c r="M15" i="6"/>
  <c r="O15" i="6"/>
  <c r="M14" i="3"/>
  <c r="Q14" i="3"/>
  <c r="O14" i="3"/>
  <c r="P14" i="3"/>
  <c r="Q16" i="6" l="1"/>
  <c r="P16" i="6"/>
  <c r="O16" i="6"/>
  <c r="M16" i="6"/>
  <c r="O15" i="3"/>
  <c r="M15" i="3"/>
  <c r="Q15" i="3"/>
  <c r="P15" i="3"/>
  <c r="O17" i="6" l="1"/>
  <c r="M17" i="6"/>
  <c r="Q17" i="6"/>
  <c r="P17" i="6"/>
  <c r="P16" i="3"/>
  <c r="O16" i="3"/>
  <c r="M16" i="3"/>
  <c r="Q16" i="3"/>
  <c r="Q18" i="6" l="1"/>
  <c r="P18" i="6"/>
  <c r="O18" i="6"/>
  <c r="M18" i="6"/>
  <c r="Q17" i="3"/>
  <c r="P17" i="3"/>
  <c r="M17" i="3"/>
  <c r="O17" i="3"/>
  <c r="Q18" i="3" l="1"/>
  <c r="P18" i="3"/>
  <c r="M18" i="3"/>
  <c r="O18" i="3"/>
</calcChain>
</file>

<file path=xl/sharedStrings.xml><?xml version="1.0" encoding="utf-8"?>
<sst xmlns="http://schemas.openxmlformats.org/spreadsheetml/2006/main" count="1139" uniqueCount="305">
  <si>
    <t>NORTHERN</t>
  </si>
  <si>
    <t>KPANDAI</t>
  </si>
  <si>
    <t>KABONWULE</t>
  </si>
  <si>
    <t>AGOMADZE</t>
  </si>
  <si>
    <t>ASIKO</t>
  </si>
  <si>
    <t>ATIFUFU</t>
  </si>
  <si>
    <t>Total population</t>
  </si>
  <si>
    <t>BAMBI</t>
  </si>
  <si>
    <t>Number of clusters</t>
  </si>
  <si>
    <t>BAWAKURA</t>
  </si>
  <si>
    <t>Skip interval</t>
  </si>
  <si>
    <t>BEPOSO A</t>
  </si>
  <si>
    <t>BEPOSO B</t>
  </si>
  <si>
    <t>BILLOW 1</t>
  </si>
  <si>
    <t>Selected number</t>
  </si>
  <si>
    <t>Number of households</t>
  </si>
  <si>
    <t>BILLOW 2</t>
  </si>
  <si>
    <t>BINANDIM</t>
  </si>
  <si>
    <t>BLADJAI</t>
  </si>
  <si>
    <t>DODZI</t>
  </si>
  <si>
    <t>EGYPT</t>
  </si>
  <si>
    <t>FONGMEI</t>
  </si>
  <si>
    <t>GBATEKURA</t>
  </si>
  <si>
    <t>GMATIKAJI</t>
  </si>
  <si>
    <t>KABONWULE A</t>
  </si>
  <si>
    <t>KABONWULE B</t>
  </si>
  <si>
    <t>KACHEKPE</t>
  </si>
  <si>
    <t>KPODO</t>
  </si>
  <si>
    <t>KWESI AGEDE</t>
  </si>
  <si>
    <t>MEME BATTOR</t>
  </si>
  <si>
    <t>MEPE</t>
  </si>
  <si>
    <t>MONJIRI</t>
  </si>
  <si>
    <t>NAABI</t>
  </si>
  <si>
    <t>NAWURESEKPE</t>
  </si>
  <si>
    <t>N-NABINI KURA</t>
  </si>
  <si>
    <t>SANGBASANGBA</t>
  </si>
  <si>
    <t>SANGURI A</t>
  </si>
  <si>
    <t>SANGURI B</t>
  </si>
  <si>
    <t>SENYAGBASIKI</t>
  </si>
  <si>
    <t>TABE</t>
  </si>
  <si>
    <t>TAME</t>
  </si>
  <si>
    <t>TEACHER KURA</t>
  </si>
  <si>
    <t>TORGBE</t>
  </si>
  <si>
    <t>UGANDO</t>
  </si>
  <si>
    <t>YADEMA</t>
  </si>
  <si>
    <t>KITARE</t>
  </si>
  <si>
    <t>ABUTA</t>
  </si>
  <si>
    <t>ANAGBENUKOPE</t>
  </si>
  <si>
    <t>ANGLO KWASI</t>
  </si>
  <si>
    <t>BASAREKURA A</t>
  </si>
  <si>
    <t>BASAREKURA B</t>
  </si>
  <si>
    <t>BATURE KURA</t>
  </si>
  <si>
    <t>BINGALI 1</t>
  </si>
  <si>
    <t>BINGALI 2</t>
  </si>
  <si>
    <t>BOLLA</t>
  </si>
  <si>
    <t>BOLLA  AKURA</t>
  </si>
  <si>
    <t>DONKOR AKURA</t>
  </si>
  <si>
    <t>DONKPAI</t>
  </si>
  <si>
    <t>KITARE RESETTLEMENT A</t>
  </si>
  <si>
    <t>KITARE RESETTLEMENT B</t>
  </si>
  <si>
    <t>KITARE TOWN A</t>
  </si>
  <si>
    <t>KITARE TOWN B</t>
  </si>
  <si>
    <t>LYGAN BATTOR</t>
  </si>
  <si>
    <t>NANCHUKURA 1</t>
  </si>
  <si>
    <t>NANCHUKURA 2</t>
  </si>
  <si>
    <t>NASSANDE</t>
  </si>
  <si>
    <t>NYEKONAKPE</t>
  </si>
  <si>
    <t>THOMASKOPE</t>
  </si>
  <si>
    <t>TIGAMGAM 1</t>
  </si>
  <si>
    <t>TIGAMGAM 2</t>
  </si>
  <si>
    <t>UGOJADO</t>
  </si>
  <si>
    <t>VOME</t>
  </si>
  <si>
    <t>WAJADO</t>
  </si>
  <si>
    <t>WAJUL AKURA</t>
  </si>
  <si>
    <t>WASAWASA 1</t>
  </si>
  <si>
    <t>WASAWASA NO 2</t>
  </si>
  <si>
    <t>WASAWASA NO 3</t>
  </si>
  <si>
    <t>ZION 1</t>
  </si>
  <si>
    <t>ZION 2</t>
  </si>
  <si>
    <t>ALIMA KURA</t>
  </si>
  <si>
    <t>ASSEMBLY QUARTERS</t>
  </si>
  <si>
    <t>AUTHOMATIC</t>
  </si>
  <si>
    <t>BADURI</t>
  </si>
  <si>
    <t>BAKUM</t>
  </si>
  <si>
    <t>BALAI NORTH</t>
  </si>
  <si>
    <t>BALAI SOUTH</t>
  </si>
  <si>
    <t>BANYIMARIDO</t>
  </si>
  <si>
    <t>BASARE EAST</t>
  </si>
  <si>
    <t>BASARE WEST</t>
  </si>
  <si>
    <t>BATTOR</t>
  </si>
  <si>
    <t>BIKONDO</t>
  </si>
  <si>
    <t>BIMALDO</t>
  </si>
  <si>
    <t>BINAGMADO</t>
  </si>
  <si>
    <t>BINARLOB</t>
  </si>
  <si>
    <t>BUYA</t>
  </si>
  <si>
    <t>CAMP RESETTLEMENT</t>
  </si>
  <si>
    <t>DOBUNG NO 1</t>
  </si>
  <si>
    <t>DOBUNG NO 2</t>
  </si>
  <si>
    <t>DODOPE</t>
  </si>
  <si>
    <t>FAKUJA</t>
  </si>
  <si>
    <t>GONJA SECTION</t>
  </si>
  <si>
    <t>HILL TOP</t>
  </si>
  <si>
    <t>JADIGBE</t>
  </si>
  <si>
    <t>JAMAN NKWANTA</t>
  </si>
  <si>
    <t>JANJALINE</t>
  </si>
  <si>
    <t>JAPIDO</t>
  </si>
  <si>
    <t>JETIMAAR</t>
  </si>
  <si>
    <t>KACHILENDE</t>
  </si>
  <si>
    <t>KETEIJELI DAMANKO</t>
  </si>
  <si>
    <t>KETEIJELI EAST</t>
  </si>
  <si>
    <t>KETEIJELI WEST A</t>
  </si>
  <si>
    <t>KETEIJELI WEST B</t>
  </si>
  <si>
    <t>KETEIJELI ZONGO</t>
  </si>
  <si>
    <t>KIBUANI</t>
  </si>
  <si>
    <t>KINYINKPA</t>
  </si>
  <si>
    <t>KOKONAJIE NORTH</t>
  </si>
  <si>
    <t>KOKONAJIE SOUTH</t>
  </si>
  <si>
    <t>KONJADO</t>
  </si>
  <si>
    <t>KONKOMBA EAST</t>
  </si>
  <si>
    <t>KONKOMBA WEST</t>
  </si>
  <si>
    <t>KOTOKOLI EAST</t>
  </si>
  <si>
    <t>KOTOKOLI WEST</t>
  </si>
  <si>
    <t>KPABRI</t>
  </si>
  <si>
    <t>KPAKPA</t>
  </si>
  <si>
    <t>KPAKPA BATTOR</t>
  </si>
  <si>
    <t>KPALCHILDO</t>
  </si>
  <si>
    <t>KPALUMPO</t>
  </si>
  <si>
    <t>KPANDAI AREA 1</t>
  </si>
  <si>
    <t>KPANDAI AREA 2</t>
  </si>
  <si>
    <t>KUCHATI</t>
  </si>
  <si>
    <t>KUJAR</t>
  </si>
  <si>
    <t>LESSENI</t>
  </si>
  <si>
    <t>LESSENI HILL-TOP</t>
  </si>
  <si>
    <t>LIGUNGULPU A</t>
  </si>
  <si>
    <t>LIGUNGULPU B</t>
  </si>
  <si>
    <t>LUNGNI NO 1</t>
  </si>
  <si>
    <t>MAWANDO</t>
  </si>
  <si>
    <t>MBOWURA</t>
  </si>
  <si>
    <t>MEME KKB NORTH</t>
  </si>
  <si>
    <t>MEME KKB SOUTH</t>
  </si>
  <si>
    <t>MENSAH KURA</t>
  </si>
  <si>
    <t>MILE 70</t>
  </si>
  <si>
    <t>MULPIDO</t>
  </si>
  <si>
    <t>MUNYIMBA</t>
  </si>
  <si>
    <t>NANKPATI</t>
  </si>
  <si>
    <t>NANTENDO</t>
  </si>
  <si>
    <t>NANYANDO</t>
  </si>
  <si>
    <t>NAWURI SECTION</t>
  </si>
  <si>
    <t>NCHAPONI</t>
  </si>
  <si>
    <t>NIJUDO</t>
  </si>
  <si>
    <t>NKALBIDO</t>
  </si>
  <si>
    <t>NKANCHINA 2</t>
  </si>
  <si>
    <t>NKANCHINA NO 1</t>
  </si>
  <si>
    <t>OGEGEREGE</t>
  </si>
  <si>
    <t>ONYUMBO</t>
  </si>
  <si>
    <t>POLICE BARRACKS</t>
  </si>
  <si>
    <t>POLYCLINIC ROAD</t>
  </si>
  <si>
    <t>POSATI</t>
  </si>
  <si>
    <t>SAGMANTI</t>
  </si>
  <si>
    <t>SEIKURA</t>
  </si>
  <si>
    <t>TADANDO</t>
  </si>
  <si>
    <t>TETTEY KURA</t>
  </si>
  <si>
    <t>TIJU KURA</t>
  </si>
  <si>
    <t>TIKARINI</t>
  </si>
  <si>
    <t>TORLE</t>
  </si>
  <si>
    <t>UPPER REGION</t>
  </si>
  <si>
    <t>WASSADO</t>
  </si>
  <si>
    <t>WUBORIJADO</t>
  </si>
  <si>
    <t>WUCHARDO</t>
  </si>
  <si>
    <t>WUNANDINDO</t>
  </si>
  <si>
    <t>KUMDI</t>
  </si>
  <si>
    <t>AGBANJO KURA</t>
  </si>
  <si>
    <t>BAKAPU-DO</t>
  </si>
  <si>
    <t>BANKAMBA KK</t>
  </si>
  <si>
    <t>BANKAMBA NORTH</t>
  </si>
  <si>
    <t>BINANDINDO</t>
  </si>
  <si>
    <t>BINGODO</t>
  </si>
  <si>
    <t>BISAMDO</t>
  </si>
  <si>
    <t>BOMBARE</t>
  </si>
  <si>
    <t>BORADIENI</t>
  </si>
  <si>
    <t>CHAKOSI LINE</t>
  </si>
  <si>
    <t>CHARKOLI KK</t>
  </si>
  <si>
    <t>CHARKOLI NN</t>
  </si>
  <si>
    <t>DALABDO</t>
  </si>
  <si>
    <t>JAGBINGBINDO</t>
  </si>
  <si>
    <t>KOFIDO</t>
  </si>
  <si>
    <t>KOJOBONE KK</t>
  </si>
  <si>
    <t>KOJOBONE NORTH</t>
  </si>
  <si>
    <t>KPABINKANDO</t>
  </si>
  <si>
    <t>KUCHATIDO</t>
  </si>
  <si>
    <t>KUMDI EAST</t>
  </si>
  <si>
    <t>KUMDI NORTH</t>
  </si>
  <si>
    <t>KUMDI SOUTH</t>
  </si>
  <si>
    <t>KUMDI WEST</t>
  </si>
  <si>
    <t>KUMDI WEST BANK</t>
  </si>
  <si>
    <t>KURANI</t>
  </si>
  <si>
    <t>KWAEKURA</t>
  </si>
  <si>
    <t>LAMBADO</t>
  </si>
  <si>
    <t>MALANDO</t>
  </si>
  <si>
    <t>MAWINDO</t>
  </si>
  <si>
    <t>MEMPEASEM</t>
  </si>
  <si>
    <t>NADOR-DO</t>
  </si>
  <si>
    <t>NANJERO LAMOJA</t>
  </si>
  <si>
    <t>NANJERO MP</t>
  </si>
  <si>
    <t>NANJERO NN</t>
  </si>
  <si>
    <t>NGO-DO</t>
  </si>
  <si>
    <t>NIWULAMDO</t>
  </si>
  <si>
    <t>NKPANI</t>
  </si>
  <si>
    <t>NYIMBORIDO</t>
  </si>
  <si>
    <t>OPUNIDO</t>
  </si>
  <si>
    <t>OTAPINDO</t>
  </si>
  <si>
    <t>QUARTAPE</t>
  </si>
  <si>
    <t>SANBUTIDO</t>
  </si>
  <si>
    <t>TABIDO</t>
  </si>
  <si>
    <t>TAKANADO</t>
  </si>
  <si>
    <t>TAKUMDO</t>
  </si>
  <si>
    <t>TEKALDO</t>
  </si>
  <si>
    <t>TENGLENTO</t>
  </si>
  <si>
    <t>WAJAKPACHA JUNCTION</t>
  </si>
  <si>
    <t>WAJAKPACHANDO</t>
  </si>
  <si>
    <t>WAMOLDO</t>
  </si>
  <si>
    <t>WIAE CHARBO</t>
  </si>
  <si>
    <t>WIAE LABRIDO</t>
  </si>
  <si>
    <t>WIAE NORTH</t>
  </si>
  <si>
    <t>WIAE SOUTH</t>
  </si>
  <si>
    <t>SABONJIDA</t>
  </si>
  <si>
    <t>ADAKOPE</t>
  </si>
  <si>
    <t>ALHASSAN KURA</t>
  </si>
  <si>
    <t>ASASENKASA</t>
  </si>
  <si>
    <t>BANAJADO</t>
  </si>
  <si>
    <t>BEPOSO</t>
  </si>
  <si>
    <t>BUAGBAN</t>
  </si>
  <si>
    <t>BUNTUM</t>
  </si>
  <si>
    <t>DAMAKURA</t>
  </si>
  <si>
    <t>DASIKOPE</t>
  </si>
  <si>
    <t>EWANDO</t>
  </si>
  <si>
    <t>GUDUGBAN</t>
  </si>
  <si>
    <t>GULBI QUARTERS A</t>
  </si>
  <si>
    <t>GULBI QUARTERS B</t>
  </si>
  <si>
    <t>GULBI QUARTERS C</t>
  </si>
  <si>
    <t>GULBI QUARTERS D</t>
  </si>
  <si>
    <t>JALAI</t>
  </si>
  <si>
    <t>JAMGBUJADO</t>
  </si>
  <si>
    <t>JIDANDOGO A</t>
  </si>
  <si>
    <t>JIDANDOGO B</t>
  </si>
  <si>
    <t>JIMBI KURA</t>
  </si>
  <si>
    <t>KABESO 1</t>
  </si>
  <si>
    <t>KABESO 2</t>
  </si>
  <si>
    <t>KACHINKE</t>
  </si>
  <si>
    <t>KAKPENI</t>
  </si>
  <si>
    <t>KAPUI</t>
  </si>
  <si>
    <t>KODOME</t>
  </si>
  <si>
    <t>KPADJAI NO. 1</t>
  </si>
  <si>
    <t>KPADJAI NO. 2</t>
  </si>
  <si>
    <t>KPONU</t>
  </si>
  <si>
    <t>KUMUNISE</t>
  </si>
  <si>
    <t>LAGEE</t>
  </si>
  <si>
    <t>LOLOTO A</t>
  </si>
  <si>
    <t>LOLOTO B</t>
  </si>
  <si>
    <t>LOLOTO C</t>
  </si>
  <si>
    <t>LONTO A</t>
  </si>
  <si>
    <t>LONTO B</t>
  </si>
  <si>
    <t>LONTO C</t>
  </si>
  <si>
    <t>LUNGNUDO</t>
  </si>
  <si>
    <t>MESYRE NYAME</t>
  </si>
  <si>
    <t>NFIGMADO</t>
  </si>
  <si>
    <t>OCHEREPE 1</t>
  </si>
  <si>
    <t>OCHEREPE 2</t>
  </si>
  <si>
    <t>SABONJIDA A</t>
  </si>
  <si>
    <t>SABONJIDA B</t>
  </si>
  <si>
    <t>SABONJIDA C</t>
  </si>
  <si>
    <t>SAMI KURA</t>
  </si>
  <si>
    <t>SIKAKURA 1</t>
  </si>
  <si>
    <t>SIKAKURA 2</t>
  </si>
  <si>
    <t>SUNGUAI</t>
  </si>
  <si>
    <t>TAKPATSE</t>
  </si>
  <si>
    <t>TANKLEKU</t>
  </si>
  <si>
    <t>TIKPAKPANI</t>
  </si>
  <si>
    <t>TOKLO</t>
  </si>
  <si>
    <t>VUVUKURA</t>
  </si>
  <si>
    <t>Random starting point</t>
  </si>
  <si>
    <t>Fixed starting point value</t>
  </si>
  <si>
    <t>Cumulative number of households</t>
  </si>
  <si>
    <t>Intermediate admin level
(if present)</t>
  </si>
  <si>
    <t>Admin level above Lot</t>
  </si>
  <si>
    <t>Lot name</t>
  </si>
  <si>
    <t>Cluster name</t>
  </si>
  <si>
    <t>Number of households in cluster</t>
  </si>
  <si>
    <t>Sampling factors</t>
  </si>
  <si>
    <t>Cluster number</t>
  </si>
  <si>
    <t>Intermediate admin level</t>
  </si>
  <si>
    <t>Cumulative reference</t>
  </si>
  <si>
    <t>AMP End-Process Assessment</t>
  </si>
  <si>
    <t>PPS Sampling Template - Instructions for use</t>
  </si>
  <si>
    <t>Introduction</t>
  </si>
  <si>
    <t>Step One - Prepare the sampling frame list</t>
  </si>
  <si>
    <t>Step Two - Check the number of clusters to be sampled</t>
  </si>
  <si>
    <t>Step Three – Generate a random starting point</t>
  </si>
  <si>
    <t>Step Four - Automated cluster sampling and output table</t>
  </si>
  <si>
    <r>
      <t>The table defined by the orange cells will automatically update to display the 6 (by default) clusters sampled by PPS within the Lot (</t>
    </r>
    <r>
      <rPr>
        <b/>
        <sz val="11"/>
        <color theme="5"/>
        <rFont val="Calibri"/>
        <family val="2"/>
      </rPr>
      <t>cell range N11:Q18</t>
    </r>
    <r>
      <rPr>
        <sz val="11"/>
        <rFont val="Calibri"/>
        <family val="2"/>
      </rPr>
      <t xml:space="preserve">).
The table contains columns for:
•	</t>
    </r>
    <r>
      <rPr>
        <b/>
        <sz val="11"/>
        <rFont val="Calibri"/>
        <family val="2"/>
      </rPr>
      <t>Cluster number</t>
    </r>
    <r>
      <rPr>
        <sz val="11"/>
        <rFont val="Calibri"/>
        <family val="2"/>
      </rPr>
      <t xml:space="preserve">: From 1 to 6 (by default)
•	</t>
    </r>
    <r>
      <rPr>
        <b/>
        <sz val="11"/>
        <rFont val="Calibri"/>
        <family val="2"/>
      </rPr>
      <t>Intermediate admin level</t>
    </r>
    <r>
      <rPr>
        <sz val="11"/>
        <rFont val="Calibri"/>
        <family val="2"/>
      </rPr>
      <t xml:space="preserve">: If information on an intermediate admin level has been included in the sampling frame, it will appear here
•	</t>
    </r>
    <r>
      <rPr>
        <b/>
        <sz val="11"/>
        <rFont val="Calibri"/>
        <family val="2"/>
      </rPr>
      <t>Cluster name</t>
    </r>
    <r>
      <rPr>
        <sz val="11"/>
        <rFont val="Calibri"/>
        <family val="2"/>
      </rPr>
      <t xml:space="preserve">
•	</t>
    </r>
    <r>
      <rPr>
        <b/>
        <sz val="11"/>
        <rFont val="Calibri"/>
        <family val="2"/>
      </rPr>
      <t>Number of households</t>
    </r>
    <r>
      <rPr>
        <sz val="11"/>
        <rFont val="Calibri"/>
        <family val="2"/>
      </rPr>
      <t>: The number of households in the selected cluster
The table can be copy/pasted into the final format used by the analyst and assessment teams to share relevant sampling details (i.e. in Excel or Word).
The automated output table will work for any number of clusters between 1 and 6, however, if more than 6 clusters are required then the analyst will need to add additional rows to the table output and update the formulae as necessary.
Adjacent to the orange table are three columns in grey (</t>
    </r>
    <r>
      <rPr>
        <b/>
        <sz val="11"/>
        <color theme="5"/>
        <rFont val="Calibri"/>
        <family val="2"/>
      </rPr>
      <t>cell range K11:M18</t>
    </r>
    <r>
      <rPr>
        <sz val="11"/>
        <rFont val="Calibri"/>
        <family val="2"/>
      </rPr>
      <t xml:space="preserve">). These columns are visible in the worksheet so users can understand how the automated PPS sampling works. The columns, and their purpose, are:
•	Cluster number: From 1 to 6 (by default) to index each selected cluster
•	Selected number: For the first cluster, this value equals the fixed starting point. For subsequent clusters, the formulae in this column sequentially add the skip interval to the value in the row above until the total number of clusters has been reached. 
•	Cumulative reference: The automation process uses Excel’s </t>
    </r>
    <r>
      <rPr>
        <b/>
        <sz val="11"/>
        <color theme="5"/>
        <rFont val="Calibri"/>
        <family val="2"/>
      </rPr>
      <t>XLOOKUP</t>
    </r>
    <r>
      <rPr>
        <sz val="11"/>
        <rFont val="Calibri"/>
        <family val="2"/>
      </rPr>
      <t xml:space="preserve"> function to identify the cluster into which the cumulative population value (in the Selected number column) falls. It does this by comparing the cumulative population total in sequential clusters until it finds the closest value greater than the Selected number. For reference, this value is displayed in the Cumulative reference column.</t>
    </r>
  </si>
  <si>
    <t>Example sample frame list with 6 columns corresponding to the instructions for Step One</t>
  </si>
  <si>
    <r>
      <t xml:space="preserve">This workbook can be used to automate cluster sampling for AMP end-process ITN campaign assessments using probability proportional to size (PPS) sampling.
It is important that the worksheets used for the PPS sampling are kept and shared with the assessment analyst. The information contained in the sheets is needed for weighting when estimating indicators at levels above the Lot.
The workbook contains this instruction worksheet, an example sheet, and the PPS sampling template. The template automates sampling for one Lot. If multiple Lots are to be sampled, users can duplicate the template worksheet and use a new sheet for each Lot.
Prior to conducting sampling, teams must define the following sampling elements:
•	</t>
    </r>
    <r>
      <rPr>
        <b/>
        <sz val="11"/>
        <rFont val="Calibri"/>
        <family val="2"/>
      </rPr>
      <t>Sampling frame</t>
    </r>
    <r>
      <rPr>
        <sz val="11"/>
        <rFont val="Calibri"/>
        <family val="2"/>
      </rPr>
      <t xml:space="preserve"> – The totality of the geographic area in which the assessment will occur
•	</t>
    </r>
    <r>
      <rPr>
        <b/>
        <sz val="11"/>
        <rFont val="Calibri"/>
        <family val="2"/>
      </rPr>
      <t>Lot</t>
    </r>
    <r>
      <rPr>
        <sz val="11"/>
        <rFont val="Calibri"/>
        <family val="2"/>
      </rPr>
      <t xml:space="preserve"> – The level at which performance will be classified and operational decisions made
•	</t>
    </r>
    <r>
      <rPr>
        <b/>
        <sz val="11"/>
        <rFont val="Calibri"/>
        <family val="2"/>
      </rPr>
      <t>Cluster</t>
    </r>
    <r>
      <rPr>
        <sz val="11"/>
        <rFont val="Calibri"/>
        <family val="2"/>
      </rPr>
      <t xml:space="preserve"> – A collection of households within defined geographical or administrative boundaries. Clusters are commonly villages, communities or settlements.
The sampling frame spreadsheet must list every cluster in every lot that is eligible for inclusion in the study, together with a measure of the size of the cluster. The measure of size can be the number of households in each cluster, or the population count of each cluster. 
Population data could come from data sources used for macro planning if this includes cluster-level information. The National Statistics Office may also be able to provide this information.</t>
    </r>
  </si>
  <si>
    <r>
      <t xml:space="preserve">Prior to using the PPS sampling template, teams must develop a sampling frame list based on the </t>
    </r>
    <r>
      <rPr>
        <b/>
        <sz val="11"/>
        <rFont val="Calibri"/>
        <family val="2"/>
      </rPr>
      <t>example on the right</t>
    </r>
    <r>
      <rPr>
        <sz val="11"/>
        <rFont val="Calibri"/>
        <family val="2"/>
      </rPr>
      <t xml:space="preserve">. The template is designed to work with up to 6 columns containing the following information:
•	</t>
    </r>
    <r>
      <rPr>
        <b/>
        <sz val="11"/>
        <rFont val="Calibri"/>
        <family val="2"/>
      </rPr>
      <t>The name of the admin level above the Lot level</t>
    </r>
    <r>
      <rPr>
        <sz val="11"/>
        <rFont val="Calibri"/>
        <family val="2"/>
      </rPr>
      <t xml:space="preserve"> </t>
    </r>
    <r>
      <rPr>
        <i/>
        <sz val="11"/>
        <rFont val="Calibri"/>
        <family val="2"/>
      </rPr>
      <t>(optional)</t>
    </r>
    <r>
      <rPr>
        <sz val="11"/>
        <rFont val="Calibri"/>
        <family val="2"/>
      </rPr>
      <t xml:space="preserve">
•	</t>
    </r>
    <r>
      <rPr>
        <b/>
        <sz val="11"/>
        <rFont val="Calibri"/>
        <family val="2"/>
      </rPr>
      <t>Lot name</t>
    </r>
    <r>
      <rPr>
        <sz val="11"/>
        <rFont val="Calibri"/>
        <family val="2"/>
      </rPr>
      <t xml:space="preserve">
•	</t>
    </r>
    <r>
      <rPr>
        <b/>
        <sz val="11"/>
        <rFont val="Calibri"/>
        <family val="2"/>
      </rPr>
      <t>Intermediate admin level, between the Lot and the cluster</t>
    </r>
    <r>
      <rPr>
        <sz val="11"/>
        <rFont val="Calibri"/>
        <family val="2"/>
      </rPr>
      <t xml:space="preserve"> </t>
    </r>
    <r>
      <rPr>
        <i/>
        <sz val="11"/>
        <rFont val="Calibri"/>
        <family val="2"/>
      </rPr>
      <t>(optional)</t>
    </r>
    <r>
      <rPr>
        <sz val="11"/>
        <rFont val="Calibri"/>
        <family val="2"/>
      </rPr>
      <t xml:space="preserve">
•	</t>
    </r>
    <r>
      <rPr>
        <b/>
        <sz val="11"/>
        <rFont val="Calibri"/>
        <family val="2"/>
      </rPr>
      <t>Cluster name</t>
    </r>
    <r>
      <rPr>
        <sz val="11"/>
        <rFont val="Calibri"/>
        <family val="2"/>
      </rPr>
      <t xml:space="preserve">
•	</t>
    </r>
    <r>
      <rPr>
        <b/>
        <sz val="11"/>
        <rFont val="Calibri"/>
        <family val="2"/>
      </rPr>
      <t>Number of households in cluster</t>
    </r>
    <r>
      <rPr>
        <sz val="11"/>
        <rFont val="Calibri"/>
        <family val="2"/>
      </rPr>
      <t xml:space="preserve"> (this could also be population count if available)
•	</t>
    </r>
    <r>
      <rPr>
        <b/>
        <sz val="11"/>
        <rFont val="Calibri"/>
        <family val="2"/>
      </rPr>
      <t xml:space="preserve">Cumulative number of households
</t>
    </r>
    <r>
      <rPr>
        <sz val="11"/>
        <rFont val="Calibri"/>
        <family val="2"/>
      </rPr>
      <t xml:space="preserve">
</t>
    </r>
    <r>
      <rPr>
        <i/>
        <sz val="11"/>
        <rFont val="Calibri"/>
        <family val="2"/>
      </rPr>
      <t>Two columns are optional: the name of the admin level above the Lot level and any intermediate admin level between the Lot and the cluster. It may be useful to include this information in the sampling output to facilitate the work of assessment teams in the field, but they are not required.</t>
    </r>
    <r>
      <rPr>
        <sz val="11"/>
        <rFont val="Calibri"/>
        <family val="2"/>
      </rPr>
      <t xml:space="preserve">
Although this layout involves repeating the Lot name and any higher-level admin name on each row it is likely that data are already in a similar format, particularly if they have come from the national statistics office. 
AMP recommends the sampling frame list is sorted in a standard manner prior to sampling. A common method is to sort cluster names alphabetically within any intermediate levels, which themselves are sorted alphabetically within the Lot.
The sampling template uses information contained in the </t>
    </r>
    <r>
      <rPr>
        <b/>
        <sz val="11"/>
        <rFont val="Calibri"/>
        <family val="2"/>
      </rPr>
      <t>Cumulative number of households</t>
    </r>
    <r>
      <rPr>
        <sz val="11"/>
        <rFont val="Calibri"/>
        <family val="2"/>
      </rPr>
      <t xml:space="preserve"> column to perform the sampling. It is vital the data/values in this column are correct and they should be double-checked before using the template. A common problem encountered with large sampling frame spreadsheets can be zero values for cluster size which may affect the cumulative column, depending on the formula used to cumulate the cluster sizes.
Once the sampling frame has been sorted, paste the data into </t>
    </r>
    <r>
      <rPr>
        <b/>
        <sz val="11"/>
        <color theme="5"/>
        <rFont val="Calibri"/>
        <family val="2"/>
      </rPr>
      <t>rows B to G</t>
    </r>
    <r>
      <rPr>
        <sz val="11"/>
        <rFont val="Calibri"/>
        <family val="2"/>
      </rPr>
      <t xml:space="preserve"> in the template.</t>
    </r>
  </si>
  <si>
    <r>
      <t xml:space="preserve">Confirm that the value in </t>
    </r>
    <r>
      <rPr>
        <b/>
        <sz val="11"/>
        <color theme="5"/>
        <rFont val="Calibri"/>
        <family val="2"/>
      </rPr>
      <t>cell L6</t>
    </r>
    <r>
      <rPr>
        <sz val="11"/>
        <rFont val="Calibri"/>
        <family val="2"/>
      </rPr>
      <t xml:space="preserve"> corresponds to the number of clusters (per Lot) you want to sample using PPS.
AMP recommends that countries use a </t>
    </r>
    <r>
      <rPr>
        <b/>
        <sz val="11"/>
        <rFont val="Calibri"/>
        <family val="2"/>
      </rPr>
      <t>6 cluster x 10 household</t>
    </r>
    <r>
      <rPr>
        <sz val="11"/>
        <rFont val="Calibri"/>
        <family val="2"/>
      </rPr>
      <t xml:space="preserve"> approach to sampling within each Lot. The default value cell value is 6.</t>
    </r>
  </si>
  <si>
    <r>
      <rPr>
        <b/>
        <sz val="11"/>
        <color theme="5"/>
        <rFont val="Calibri"/>
        <family val="2"/>
      </rPr>
      <t>Press F9</t>
    </r>
    <r>
      <rPr>
        <sz val="11"/>
        <rFont val="Calibri"/>
        <family val="2"/>
      </rPr>
      <t xml:space="preserve"> to update the random number in </t>
    </r>
    <r>
      <rPr>
        <b/>
        <sz val="11"/>
        <color theme="5"/>
        <rFont val="Calibri"/>
        <family val="2"/>
      </rPr>
      <t>cell L8</t>
    </r>
    <r>
      <rPr>
        <sz val="11"/>
        <rFont val="Calibri"/>
        <family val="2"/>
      </rPr>
      <t xml:space="preserve">. Once this value has been refreshed, copy the cell and use the </t>
    </r>
    <r>
      <rPr>
        <b/>
        <sz val="11"/>
        <color theme="5"/>
        <rFont val="Calibri"/>
        <family val="2"/>
      </rPr>
      <t>paste as values</t>
    </r>
    <r>
      <rPr>
        <sz val="11"/>
        <rFont val="Calibri"/>
        <family val="2"/>
      </rPr>
      <t xml:space="preserve"> option to paste the random number (rather than the formula) into </t>
    </r>
    <r>
      <rPr>
        <b/>
        <sz val="11"/>
        <color theme="5"/>
        <rFont val="Calibri"/>
        <family val="2"/>
      </rPr>
      <t>cell L9</t>
    </r>
    <r>
      <rPr>
        <sz val="11"/>
        <rFont val="Calibri"/>
        <family val="2"/>
      </rPr>
      <t>. The fixed starting point value will remain unchanged in the sheet, even if the sheet is refreshed (by pressing F9 again).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</si>
</sst>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1" x14ac:knownFonts="1">
    <font>
      <sz val="11"/>
      <name val="Calibri"/>
    </font>
    <font>
      <sz val="11"/>
      <color theme="1"/>
      <name val="Aptos Narrow"/>
      <family val="2"/>
      <scheme val="minor"/>
    </font>
    <font>
      <b/>
      <sz val="11"/>
      <name val="Calibri"/>
      <family val="2"/>
    </font>
    <font>
      <b/>
      <sz val="11"/>
      <color theme="1"/>
      <name val="Calibri"/>
      <family val="2"/>
    </font>
    <font>
      <sz val="11"/>
      <color theme="1"/>
      <name val="Calibri"/>
      <family val="2"/>
    </font>
    <font>
      <sz val="11"/>
      <name val="Calibri"/>
      <family val="2"/>
    </font>
    <font>
      <sz val="10"/>
      <name val="Arial"/>
      <family val="2"/>
    </font>
    <font>
      <b/>
      <sz val="14"/>
      <name val="Calibri"/>
      <family val="2"/>
    </font>
    <font>
      <i/>
      <sz val="11"/>
      <name val="Calibri"/>
      <family val="2"/>
    </font>
    <font>
      <b/>
      <sz val="12"/>
      <color theme="7"/>
      <name val="Calibri"/>
      <family val="2"/>
    </font>
    <font>
      <b/>
      <sz val="11"/>
      <color theme="5"/>
      <name val="Calibri"/>
      <family val="2"/>
    </font>
  </fonts>
  <fills count="15">
    <fill>
      <patternFill patternType="none"/>
    </fill>
    <fill>
      <patternFill patternType="gray125"/>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8585"/>
        <bgColor indexed="64"/>
      </patternFill>
    </fill>
    <fill>
      <patternFill patternType="solid">
        <fgColor theme="0" tint="-4.9989318521683403E-2"/>
        <bgColor indexed="64"/>
      </patternFill>
    </fill>
  </fills>
  <borders count="21">
    <border>
      <left/>
      <right/>
      <top/>
      <bottom/>
      <diagonal/>
    </border>
    <border>
      <left style="thick">
        <color rgb="FF00B050"/>
      </left>
      <right style="thick">
        <color rgb="FF00B050"/>
      </right>
      <top style="thick">
        <color rgb="FF00B050"/>
      </top>
      <bottom style="thick">
        <color rgb="FF00B050"/>
      </bottom>
      <diagonal/>
    </border>
    <border>
      <left style="thick">
        <color rgb="FF00B050"/>
      </left>
      <right/>
      <top style="thick">
        <color rgb="FF00B050"/>
      </top>
      <bottom style="thick">
        <color rgb="FF00B050"/>
      </bottom>
      <diagonal/>
    </border>
    <border>
      <left/>
      <right/>
      <top style="thick">
        <color rgb="FF00B050"/>
      </top>
      <bottom style="thick">
        <color rgb="FF00B050"/>
      </bottom>
      <diagonal/>
    </border>
    <border>
      <left/>
      <right style="thick">
        <color rgb="FF00B050"/>
      </right>
      <top style="thick">
        <color rgb="FF00B050"/>
      </top>
      <bottom style="thick">
        <color rgb="FF00B050"/>
      </bottom>
      <diagonal/>
    </border>
    <border>
      <left style="thick">
        <color theme="5" tint="-0.24994659260841701"/>
      </left>
      <right/>
      <top style="thick">
        <color theme="5" tint="-0.24994659260841701"/>
      </top>
      <bottom/>
      <diagonal/>
    </border>
    <border>
      <left/>
      <right/>
      <top style="thick">
        <color theme="5" tint="-0.24994659260841701"/>
      </top>
      <bottom/>
      <diagonal/>
    </border>
    <border>
      <left/>
      <right style="thick">
        <color theme="5" tint="-0.24994659260841701"/>
      </right>
      <top style="thick">
        <color theme="5" tint="-0.24994659260841701"/>
      </top>
      <bottom/>
      <diagonal/>
    </border>
    <border>
      <left style="thick">
        <color theme="5" tint="-0.24994659260841701"/>
      </left>
      <right/>
      <top/>
      <bottom/>
      <diagonal/>
    </border>
    <border>
      <left/>
      <right style="thick">
        <color theme="5" tint="-0.24994659260841701"/>
      </right>
      <top/>
      <bottom/>
      <diagonal/>
    </border>
    <border>
      <left style="thick">
        <color theme="5" tint="-0.24994659260841701"/>
      </left>
      <right/>
      <top/>
      <bottom style="thick">
        <color theme="5" tint="-0.24994659260841701"/>
      </bottom>
      <diagonal/>
    </border>
    <border>
      <left/>
      <right/>
      <top/>
      <bottom style="thick">
        <color theme="5" tint="-0.24994659260841701"/>
      </bottom>
      <diagonal/>
    </border>
    <border>
      <left/>
      <right style="thick">
        <color theme="5" tint="-0.24994659260841701"/>
      </right>
      <top/>
      <bottom style="thick">
        <color theme="5" tint="-0.24994659260841701"/>
      </bottom>
      <diagonal/>
    </border>
    <border>
      <left style="thick">
        <color theme="0" tint="-0.34998626667073579"/>
      </left>
      <right/>
      <top style="thick">
        <color theme="0" tint="-0.34998626667073579"/>
      </top>
      <bottom/>
      <diagonal/>
    </border>
    <border>
      <left/>
      <right/>
      <top style="thick">
        <color theme="0" tint="-0.34998626667073579"/>
      </top>
      <bottom/>
      <diagonal/>
    </border>
    <border>
      <left/>
      <right style="thick">
        <color theme="5" tint="-0.24994659260841701"/>
      </right>
      <top style="thick">
        <color theme="0" tint="-0.34998626667073579"/>
      </top>
      <bottom/>
      <diagonal/>
    </border>
    <border>
      <left style="thick">
        <color theme="0" tint="-0.34998626667073579"/>
      </left>
      <right/>
      <top/>
      <bottom/>
      <diagonal/>
    </border>
    <border>
      <left style="thick">
        <color theme="0" tint="-0.34998626667073579"/>
      </left>
      <right/>
      <top/>
      <bottom style="thick">
        <color theme="0" tint="-0.34998626667073579"/>
      </bottom>
      <diagonal/>
    </border>
    <border>
      <left/>
      <right/>
      <top/>
      <bottom style="thick">
        <color theme="0" tint="-0.34998626667073579"/>
      </bottom>
      <diagonal/>
    </border>
    <border>
      <left/>
      <right style="thick">
        <color theme="5" tint="-0.24994659260841701"/>
      </right>
      <top/>
      <bottom style="thick">
        <color theme="0" tint="-0.34998626667073579"/>
      </bottom>
      <diagonal/>
    </border>
    <border>
      <left style="thin">
        <color theme="7"/>
      </left>
      <right style="thin">
        <color theme="7"/>
      </right>
      <top style="thin">
        <color theme="7"/>
      </top>
      <bottom style="thin">
        <color theme="7"/>
      </bottom>
      <diagonal/>
    </border>
  </borders>
  <cellStyleXfs count="4">
    <xf numFmtId="0" fontId="0" fillId="0" borderId="0"/>
    <xf numFmtId="0" fontId="1" fillId="0" borderId="0"/>
    <xf numFmtId="43" fontId="1" fillId="0" borderId="0" applyFont="0" applyFill="0" applyBorder="0" applyAlignment="0" applyProtection="0"/>
    <xf numFmtId="0" fontId="6" fillId="0" borderId="0"/>
  </cellStyleXfs>
  <cellXfs count="52">
    <xf numFmtId="0" fontId="0" fillId="0" borderId="0" xfId="0"/>
    <xf numFmtId="0" fontId="4" fillId="0" borderId="0" xfId="1" applyFont="1"/>
    <xf numFmtId="0" fontId="5" fillId="0" borderId="0" xfId="0" applyFont="1"/>
    <xf numFmtId="1" fontId="0" fillId="0" borderId="0" xfId="0" applyNumberFormat="1"/>
    <xf numFmtId="1" fontId="5" fillId="0" borderId="0" xfId="0" applyNumberFormat="1" applyFont="1"/>
    <xf numFmtId="164" fontId="4" fillId="4" borderId="0" xfId="2" applyNumberFormat="1" applyFont="1" applyFill="1" applyBorder="1"/>
    <xf numFmtId="0" fontId="5" fillId="0" borderId="0" xfId="1" applyFont="1" applyProtection="1">
      <protection locked="0"/>
    </xf>
    <xf numFmtId="0" fontId="2" fillId="0" borderId="0" xfId="0" applyFont="1"/>
    <xf numFmtId="0" fontId="3" fillId="5" borderId="0" xfId="1" applyFont="1" applyFill="1"/>
    <xf numFmtId="0" fontId="5" fillId="8" borderId="0" xfId="1" applyFont="1" applyFill="1" applyProtection="1">
      <protection locked="0"/>
    </xf>
    <xf numFmtId="0" fontId="5" fillId="8" borderId="0" xfId="0" applyFont="1" applyFill="1"/>
    <xf numFmtId="0" fontId="0" fillId="9" borderId="0" xfId="0" applyFill="1"/>
    <xf numFmtId="164" fontId="5" fillId="13" borderId="0" xfId="2" applyNumberFormat="1" applyFont="1" applyFill="1" applyAlignment="1">
      <alignment horizontal="left" indent="1"/>
    </xf>
    <xf numFmtId="0" fontId="5" fillId="13" borderId="0" xfId="1" applyFont="1" applyFill="1"/>
    <xf numFmtId="0" fontId="2" fillId="12" borderId="2" xfId="0" applyFont="1" applyFill="1" applyBorder="1" applyAlignment="1">
      <alignment horizontal="left" wrapText="1"/>
    </xf>
    <xf numFmtId="0" fontId="2" fillId="11" borderId="3" xfId="0" applyFont="1" applyFill="1" applyBorder="1" applyAlignment="1">
      <alignment horizontal="left" wrapText="1"/>
    </xf>
    <xf numFmtId="0" fontId="2" fillId="12" borderId="3" xfId="0" applyFont="1" applyFill="1" applyBorder="1" applyAlignment="1">
      <alignment horizontal="left" wrapText="1"/>
    </xf>
    <xf numFmtId="0" fontId="2" fillId="11" borderId="4" xfId="0" applyFont="1" applyFill="1" applyBorder="1" applyAlignment="1">
      <alignment horizontal="left" wrapText="1"/>
    </xf>
    <xf numFmtId="164" fontId="5" fillId="13" borderId="0" xfId="2" applyNumberFormat="1" applyFont="1" applyFill="1" applyBorder="1" applyAlignment="1">
      <alignment horizontal="left"/>
    </xf>
    <xf numFmtId="0" fontId="5" fillId="6" borderId="1" xfId="1" applyFont="1" applyFill="1" applyBorder="1"/>
    <xf numFmtId="164" fontId="5" fillId="6" borderId="1" xfId="2" applyNumberFormat="1" applyFont="1" applyFill="1" applyBorder="1" applyAlignment="1">
      <alignment horizontal="left"/>
    </xf>
    <xf numFmtId="0" fontId="2" fillId="3" borderId="8" xfId="1" applyFont="1" applyFill="1" applyBorder="1" applyAlignment="1">
      <alignment horizontal="center" vertical="center" wrapText="1"/>
    </xf>
    <xf numFmtId="0" fontId="2" fillId="3" borderId="0" xfId="1" applyFont="1" applyFill="1" applyAlignment="1">
      <alignment horizontal="center" vertical="center" wrapText="1"/>
    </xf>
    <xf numFmtId="0" fontId="2" fillId="3" borderId="9" xfId="3" applyFont="1" applyFill="1" applyBorder="1" applyAlignment="1">
      <alignment horizontal="center" vertical="center" wrapText="1"/>
    </xf>
    <xf numFmtId="164" fontId="4" fillId="4" borderId="9" xfId="2" applyNumberFormat="1" applyFont="1" applyFill="1" applyBorder="1"/>
    <xf numFmtId="164" fontId="4" fillId="4" borderId="11" xfId="2" applyNumberFormat="1" applyFont="1" applyFill="1" applyBorder="1"/>
    <xf numFmtId="164" fontId="4" fillId="4" borderId="12" xfId="2" applyNumberFormat="1" applyFont="1" applyFill="1" applyBorder="1"/>
    <xf numFmtId="0" fontId="4" fillId="0" borderId="0" xfId="1" applyFont="1" applyProtection="1">
      <protection locked="0"/>
    </xf>
    <xf numFmtId="164" fontId="4" fillId="0" borderId="0" xfId="1" applyNumberFormat="1" applyFont="1" applyProtection="1">
      <protection locked="0"/>
    </xf>
    <xf numFmtId="0" fontId="2" fillId="7" borderId="0" xfId="1" applyFont="1" applyFill="1" applyAlignment="1">
      <alignment horizontal="center" vertical="center" wrapText="1"/>
    </xf>
    <xf numFmtId="164" fontId="5" fillId="14" borderId="0" xfId="2" applyNumberFormat="1" applyFont="1" applyFill="1" applyBorder="1"/>
    <xf numFmtId="164" fontId="4" fillId="4" borderId="8" xfId="2" applyNumberFormat="1" applyFont="1" applyFill="1" applyBorder="1" applyAlignment="1"/>
    <xf numFmtId="164" fontId="4" fillId="4" borderId="10" xfId="2" applyNumberFormat="1" applyFont="1" applyFill="1" applyBorder="1" applyAlignment="1"/>
    <xf numFmtId="0" fontId="2" fillId="7" borderId="16" xfId="1" applyFont="1" applyFill="1" applyBorder="1" applyAlignment="1">
      <alignment horizontal="center" vertical="center" wrapText="1"/>
    </xf>
    <xf numFmtId="0" fontId="2" fillId="7" borderId="9" xfId="1" applyFont="1" applyFill="1" applyBorder="1" applyAlignment="1">
      <alignment horizontal="center" vertical="center" wrapText="1"/>
    </xf>
    <xf numFmtId="0" fontId="5" fillId="14" borderId="16" xfId="1" applyFont="1" applyFill="1" applyBorder="1"/>
    <xf numFmtId="164" fontId="4" fillId="14" borderId="9" xfId="2" applyNumberFormat="1" applyFont="1" applyFill="1" applyBorder="1"/>
    <xf numFmtId="0" fontId="5" fillId="14" borderId="17" xfId="1" applyFont="1" applyFill="1" applyBorder="1"/>
    <xf numFmtId="164" fontId="5" fillId="14" borderId="18" xfId="2" applyNumberFormat="1" applyFont="1" applyFill="1" applyBorder="1"/>
    <xf numFmtId="164" fontId="4" fillId="14" borderId="19" xfId="2" applyNumberFormat="1" applyFont="1" applyFill="1" applyBorder="1"/>
    <xf numFmtId="0" fontId="2" fillId="9" borderId="0" xfId="0" applyFont="1" applyFill="1"/>
    <xf numFmtId="0" fontId="7" fillId="9" borderId="0" xfId="0" applyFont="1" applyFill="1"/>
    <xf numFmtId="0" fontId="5" fillId="9" borderId="0" xfId="0" applyFont="1" applyFill="1" applyAlignment="1">
      <alignment wrapText="1"/>
    </xf>
    <xf numFmtId="0" fontId="5" fillId="9" borderId="20" xfId="0" applyFont="1" applyFill="1" applyBorder="1" applyAlignment="1">
      <alignment wrapText="1"/>
    </xf>
    <xf numFmtId="0" fontId="5" fillId="9" borderId="20" xfId="0" applyFont="1" applyFill="1" applyBorder="1" applyAlignment="1">
      <alignment vertical="top" wrapText="1"/>
    </xf>
    <xf numFmtId="0" fontId="9" fillId="9" borderId="20" xfId="0" applyFont="1" applyFill="1" applyBorder="1"/>
    <xf numFmtId="0" fontId="3" fillId="2" borderId="5" xfId="1" applyFont="1" applyFill="1" applyBorder="1" applyAlignment="1">
      <alignment horizontal="center"/>
    </xf>
    <xf numFmtId="0" fontId="3" fillId="2" borderId="6" xfId="1" applyFont="1" applyFill="1" applyBorder="1" applyAlignment="1">
      <alignment horizontal="center"/>
    </xf>
    <xf numFmtId="0" fontId="3" fillId="2" borderId="7" xfId="1" applyFont="1" applyFill="1" applyBorder="1" applyAlignment="1">
      <alignment horizontal="center"/>
    </xf>
    <xf numFmtId="0" fontId="3" fillId="10" borderId="13" xfId="1" applyFont="1" applyFill="1" applyBorder="1" applyAlignment="1">
      <alignment horizontal="center"/>
    </xf>
    <xf numFmtId="0" fontId="3" fillId="10" borderId="14" xfId="1" applyFont="1" applyFill="1" applyBorder="1" applyAlignment="1">
      <alignment horizontal="center"/>
    </xf>
    <xf numFmtId="0" fontId="3" fillId="10" borderId="15" xfId="1" applyFont="1" applyFill="1" applyBorder="1" applyAlignment="1">
      <alignment horizontal="center"/>
    </xf>
  </cellXfs>
  <cellStyles count="4">
    <cellStyle name="Comma 2" xfId="2" xr:uid="{E7C7F651-7AE3-4A9E-BABB-69FF6BEC7FCD}"/>
    <cellStyle name="Normal" xfId="0" builtinId="0"/>
    <cellStyle name="Normal 2" xfId="1" xr:uid="{89855372-D2F0-4D37-8A33-19625C0E799B}"/>
    <cellStyle name="Normal 2 10" xfId="3" xr:uid="{02074730-864C-420E-A221-D9C812DE7867}"/>
  </cellStyles>
  <dxfs count="0"/>
  <tableStyles count="0" defaultTableStyle="TableStyleMedium2" defaultPivotStyle="PivotStyleLight16"/>
  <colors>
    <mruColors>
      <color rgb="FFFF85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3069590</xdr:colOff>
      <xdr:row>5</xdr:row>
      <xdr:rowOff>56515</xdr:rowOff>
    </xdr:to>
    <xdr:pic>
      <xdr:nvPicPr>
        <xdr:cNvPr id="2" name="image4.png" descr="Text&#10;&#10;Description automatically generated with medium confidence">
          <a:extLst>
            <a:ext uri="{FF2B5EF4-FFF2-40B4-BE49-F238E27FC236}">
              <a16:creationId xmlns:a16="http://schemas.microsoft.com/office/drawing/2014/main" id="{11A7CD53-A315-26CA-F268-598A5D8C12FA}"/>
            </a:ext>
          </a:extLst>
        </xdr:cNvPr>
        <xdr:cNvPicPr/>
      </xdr:nvPicPr>
      <xdr:blipFill>
        <a:blip xmlns:r="http://schemas.openxmlformats.org/officeDocument/2006/relationships" r:embed="rId1"/>
        <a:srcRect/>
        <a:stretch>
          <a:fillRect/>
        </a:stretch>
      </xdr:blipFill>
      <xdr:spPr>
        <a:xfrm>
          <a:off x="609600" y="190500"/>
          <a:ext cx="3069590" cy="818515"/>
        </a:xfrm>
        <a:prstGeom prst="rect">
          <a:avLst/>
        </a:prstGeom>
        <a:ln/>
      </xdr:spPr>
    </xdr:pic>
    <xdr:clientData/>
  </xdr:twoCellAnchor>
  <xdr:twoCellAnchor editAs="oneCell">
    <xdr:from>
      <xdr:col>4</xdr:col>
      <xdr:colOff>47625</xdr:colOff>
      <xdr:row>13</xdr:row>
      <xdr:rowOff>47625</xdr:rowOff>
    </xdr:from>
    <xdr:to>
      <xdr:col>13</xdr:col>
      <xdr:colOff>48391</xdr:colOff>
      <xdr:row>19</xdr:row>
      <xdr:rowOff>429532</xdr:rowOff>
    </xdr:to>
    <xdr:pic>
      <xdr:nvPicPr>
        <xdr:cNvPr id="3" name="Picture 2">
          <a:extLst>
            <a:ext uri="{FF2B5EF4-FFF2-40B4-BE49-F238E27FC236}">
              <a16:creationId xmlns:a16="http://schemas.microsoft.com/office/drawing/2014/main" id="{3494E977-273C-04BD-A44F-F36822E78D32}"/>
            </a:ext>
          </a:extLst>
        </xdr:cNvPr>
        <xdr:cNvPicPr>
          <a:picLocks noChangeAspect="1"/>
        </xdr:cNvPicPr>
      </xdr:nvPicPr>
      <xdr:blipFill>
        <a:blip xmlns:r="http://schemas.openxmlformats.org/officeDocument/2006/relationships" r:embed="rId2"/>
        <a:stretch>
          <a:fillRect/>
        </a:stretch>
      </xdr:blipFill>
      <xdr:spPr>
        <a:xfrm>
          <a:off x="10134600" y="5686425"/>
          <a:ext cx="5487166" cy="6496957"/>
        </a:xfrm>
        <a:prstGeom prst="rect">
          <a:avLst/>
        </a:prstGeom>
      </xdr:spPr>
    </xdr:pic>
    <xdr:clientData/>
  </xdr:twoCellAnchor>
  <xdr:twoCellAnchor>
    <xdr:from>
      <xdr:col>2</xdr:col>
      <xdr:colOff>85725</xdr:colOff>
      <xdr:row>12</xdr:row>
      <xdr:rowOff>1</xdr:rowOff>
    </xdr:from>
    <xdr:to>
      <xdr:col>3</xdr:col>
      <xdr:colOff>333375</xdr:colOff>
      <xdr:row>13</xdr:row>
      <xdr:rowOff>66676</xdr:rowOff>
    </xdr:to>
    <xdr:sp macro="" textlink="">
      <xdr:nvSpPr>
        <xdr:cNvPr id="4" name="Arrow: Right 3">
          <a:extLst>
            <a:ext uri="{FF2B5EF4-FFF2-40B4-BE49-F238E27FC236}">
              <a16:creationId xmlns:a16="http://schemas.microsoft.com/office/drawing/2014/main" id="{63170FB3-356D-59C2-4076-8462BF715F78}"/>
            </a:ext>
          </a:extLst>
        </xdr:cNvPr>
        <xdr:cNvSpPr/>
      </xdr:nvSpPr>
      <xdr:spPr>
        <a:xfrm>
          <a:off x="8534400" y="5438776"/>
          <a:ext cx="628650" cy="266700"/>
        </a:xfrm>
        <a:prstGeom prst="rightArrow">
          <a:avLst/>
        </a:prstGeom>
        <a:solidFill>
          <a:schemeClr val="accent4"/>
        </a:solidFill>
        <a:ln>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361950</xdr:colOff>
      <xdr:row>1</xdr:row>
      <xdr:rowOff>5441</xdr:rowOff>
    </xdr:from>
    <xdr:to>
      <xdr:col>9</xdr:col>
      <xdr:colOff>600075</xdr:colOff>
      <xdr:row>6</xdr:row>
      <xdr:rowOff>122465</xdr:rowOff>
    </xdr:to>
    <xdr:sp macro="" textlink="">
      <xdr:nvSpPr>
        <xdr:cNvPr id="2" name="Speech Bubble: Rectangle 1">
          <a:extLst>
            <a:ext uri="{FF2B5EF4-FFF2-40B4-BE49-F238E27FC236}">
              <a16:creationId xmlns:a16="http://schemas.microsoft.com/office/drawing/2014/main" id="{36E3F0C8-9EE8-42B6-A1ED-5E71CB777180}"/>
            </a:ext>
          </a:extLst>
        </xdr:cNvPr>
        <xdr:cNvSpPr/>
      </xdr:nvSpPr>
      <xdr:spPr>
        <a:xfrm>
          <a:off x="5974896" y="202745"/>
          <a:ext cx="2102304" cy="1470934"/>
        </a:xfrm>
        <a:prstGeom prst="wedgeRectCallout">
          <a:avLst>
            <a:gd name="adj1" fmla="val -65367"/>
            <a:gd name="adj2" fmla="val -21082"/>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ysClr val="windowText" lastClr="000000"/>
              </a:solidFill>
            </a:rPr>
            <a:t>Step One</a:t>
          </a:r>
          <a:br>
            <a:rPr lang="en-GB" sz="1100">
              <a:solidFill>
                <a:sysClr val="windowText" lastClr="000000"/>
              </a:solidFill>
            </a:rPr>
          </a:br>
          <a:r>
            <a:rPr lang="en-GB" sz="1100">
              <a:solidFill>
                <a:sysClr val="windowText" lastClr="000000"/>
              </a:solidFill>
            </a:rPr>
            <a:t>Sort your</a:t>
          </a:r>
          <a:r>
            <a:rPr lang="en-GB" sz="1100" baseline="0">
              <a:solidFill>
                <a:sysClr val="windowText" lastClr="000000"/>
              </a:solidFill>
            </a:rPr>
            <a:t> data in the manner that fits your sampling scheme, then paste data into columns B to G. Columns B and G are optional but the Lot, Cluster and measures of size must be pasted into columns C, E, F and G.</a:t>
          </a:r>
          <a:endParaRPr lang="en-GB" sz="1100">
            <a:solidFill>
              <a:sysClr val="windowText" lastClr="000000"/>
            </a:solidFill>
          </a:endParaRPr>
        </a:p>
      </xdr:txBody>
    </xdr:sp>
    <xdr:clientData/>
  </xdr:twoCellAnchor>
  <xdr:twoCellAnchor>
    <xdr:from>
      <xdr:col>12</xdr:col>
      <xdr:colOff>224520</xdr:colOff>
      <xdr:row>3</xdr:row>
      <xdr:rowOff>185736</xdr:rowOff>
    </xdr:from>
    <xdr:to>
      <xdr:col>16</xdr:col>
      <xdr:colOff>843645</xdr:colOff>
      <xdr:row>6</xdr:row>
      <xdr:rowOff>61231</xdr:rowOff>
    </xdr:to>
    <xdr:sp macro="" textlink="">
      <xdr:nvSpPr>
        <xdr:cNvPr id="3" name="Speech Bubble: Rectangle 2">
          <a:extLst>
            <a:ext uri="{FF2B5EF4-FFF2-40B4-BE49-F238E27FC236}">
              <a16:creationId xmlns:a16="http://schemas.microsoft.com/office/drawing/2014/main" id="{7842634D-8075-4A72-87DC-50704A0636BC}"/>
            </a:ext>
          </a:extLst>
        </xdr:cNvPr>
        <xdr:cNvSpPr/>
      </xdr:nvSpPr>
      <xdr:spPr>
        <a:xfrm>
          <a:off x="11178270" y="1172254"/>
          <a:ext cx="4490357" cy="474209"/>
        </a:xfrm>
        <a:prstGeom prst="wedgeRectCallout">
          <a:avLst>
            <a:gd name="adj1" fmla="val -54017"/>
            <a:gd name="adj2" fmla="val 20893"/>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ysClr val="windowText" lastClr="000000"/>
              </a:solidFill>
            </a:rPr>
            <a:t>Step Two</a:t>
          </a:r>
          <a:br>
            <a:rPr lang="en-GB" sz="1100">
              <a:solidFill>
                <a:sysClr val="windowText" lastClr="000000"/>
              </a:solidFill>
            </a:rPr>
          </a:br>
          <a:r>
            <a:rPr lang="en-GB" sz="1100">
              <a:solidFill>
                <a:sysClr val="windowText" lastClr="000000"/>
              </a:solidFill>
              <a:effectLst/>
              <a:latin typeface="+mn-lt"/>
              <a:ea typeface="+mn-ea"/>
              <a:cs typeface="+mn-cs"/>
            </a:rPr>
            <a:t>Enter the number of clusters</a:t>
          </a:r>
          <a:r>
            <a:rPr lang="en-GB" sz="1100" baseline="0">
              <a:solidFill>
                <a:sysClr val="windowText" lastClr="000000"/>
              </a:solidFill>
              <a:effectLst/>
              <a:latin typeface="+mn-lt"/>
              <a:ea typeface="+mn-ea"/>
              <a:cs typeface="+mn-cs"/>
            </a:rPr>
            <a:t> to be selected here.</a:t>
          </a:r>
          <a:endParaRPr lang="en-GB" sz="1100">
            <a:solidFill>
              <a:sysClr val="windowText" lastClr="000000"/>
            </a:solidFill>
          </a:endParaRPr>
        </a:p>
      </xdr:txBody>
    </xdr:sp>
    <xdr:clientData/>
  </xdr:twoCellAnchor>
  <xdr:twoCellAnchor>
    <xdr:from>
      <xdr:col>12</xdr:col>
      <xdr:colOff>224520</xdr:colOff>
      <xdr:row>6</xdr:row>
      <xdr:rowOff>104777</xdr:rowOff>
    </xdr:from>
    <xdr:to>
      <xdr:col>16</xdr:col>
      <xdr:colOff>843645</xdr:colOff>
      <xdr:row>9</xdr:row>
      <xdr:rowOff>133352</xdr:rowOff>
    </xdr:to>
    <xdr:sp macro="" textlink="">
      <xdr:nvSpPr>
        <xdr:cNvPr id="4" name="Speech Bubble: Rectangle 3">
          <a:extLst>
            <a:ext uri="{FF2B5EF4-FFF2-40B4-BE49-F238E27FC236}">
              <a16:creationId xmlns:a16="http://schemas.microsoft.com/office/drawing/2014/main" id="{9582655A-6FB1-43F6-B50E-5925690A962F}"/>
            </a:ext>
          </a:extLst>
        </xdr:cNvPr>
        <xdr:cNvSpPr/>
      </xdr:nvSpPr>
      <xdr:spPr>
        <a:xfrm>
          <a:off x="11178270" y="1690009"/>
          <a:ext cx="4490357" cy="634093"/>
        </a:xfrm>
        <a:prstGeom prst="wedgeRectCallout">
          <a:avLst>
            <a:gd name="adj1" fmla="val -54114"/>
            <a:gd name="adj2" fmla="val -20774"/>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ysClr val="windowText" lastClr="000000"/>
              </a:solidFill>
            </a:rPr>
            <a:t>Step Three</a:t>
          </a:r>
          <a:br>
            <a:rPr lang="en-GB" sz="1100">
              <a:solidFill>
                <a:sysClr val="windowText" lastClr="000000"/>
              </a:solidFill>
            </a:rPr>
          </a:br>
          <a:r>
            <a:rPr lang="en-GB" sz="1100">
              <a:solidFill>
                <a:sysClr val="windowText" lastClr="000000"/>
              </a:solidFill>
              <a:effectLst/>
              <a:latin typeface="+mn-lt"/>
              <a:ea typeface="+mn-ea"/>
              <a:cs typeface="+mn-cs"/>
            </a:rPr>
            <a:t>Refresh the worksheet</a:t>
          </a:r>
          <a:r>
            <a:rPr lang="en-GB" sz="1100" baseline="0">
              <a:solidFill>
                <a:sysClr val="windowText" lastClr="000000"/>
              </a:solidFill>
              <a:effectLst/>
              <a:latin typeface="+mn-lt"/>
              <a:ea typeface="+mn-ea"/>
              <a:cs typeface="+mn-cs"/>
            </a:rPr>
            <a:t> (press F9) to generate a new random number in M6 then copy and "Paste as value" here.</a:t>
          </a:r>
          <a:endParaRPr lang="en-GB" sz="1100">
            <a:solidFill>
              <a:sysClr val="windowText" lastClr="000000"/>
            </a:solidFill>
          </a:endParaRPr>
        </a:p>
      </xdr:txBody>
    </xdr:sp>
    <xdr:clientData/>
  </xdr:twoCellAnchor>
  <xdr:twoCellAnchor>
    <xdr:from>
      <xdr:col>17</xdr:col>
      <xdr:colOff>234041</xdr:colOff>
      <xdr:row>11</xdr:row>
      <xdr:rowOff>66674</xdr:rowOff>
    </xdr:from>
    <xdr:to>
      <xdr:col>20</xdr:col>
      <xdr:colOff>14966</xdr:colOff>
      <xdr:row>14</xdr:row>
      <xdr:rowOff>104775</xdr:rowOff>
    </xdr:to>
    <xdr:sp macro="" textlink="">
      <xdr:nvSpPr>
        <xdr:cNvPr id="5" name="Speech Bubble: Rectangle 4">
          <a:extLst>
            <a:ext uri="{FF2B5EF4-FFF2-40B4-BE49-F238E27FC236}">
              <a16:creationId xmlns:a16="http://schemas.microsoft.com/office/drawing/2014/main" id="{5BD84849-51C9-4380-849D-E49E59F95E1A}"/>
            </a:ext>
          </a:extLst>
        </xdr:cNvPr>
        <xdr:cNvSpPr/>
      </xdr:nvSpPr>
      <xdr:spPr>
        <a:xfrm>
          <a:off x="16086362" y="2665638"/>
          <a:ext cx="1617890" cy="800101"/>
        </a:xfrm>
        <a:prstGeom prst="wedgeRectCallout">
          <a:avLst>
            <a:gd name="adj1" fmla="val -60327"/>
            <a:gd name="adj2" fmla="val -20125"/>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ysClr val="windowText" lastClr="000000"/>
              </a:solidFill>
            </a:rPr>
            <a:t>Step Four</a:t>
          </a:r>
          <a:br>
            <a:rPr lang="en-GB" sz="1100">
              <a:solidFill>
                <a:sysClr val="windowText" lastClr="000000"/>
              </a:solidFill>
            </a:rPr>
          </a:br>
          <a:r>
            <a:rPr lang="en-GB" sz="1100">
              <a:solidFill>
                <a:sysClr val="windowText" lastClr="000000"/>
              </a:solidFill>
            </a:rPr>
            <a:t>This table auto-populates</a:t>
          </a:r>
          <a:r>
            <a:rPr lang="en-GB" sz="1100" baseline="0">
              <a:solidFill>
                <a:sysClr val="windowText" lastClr="000000"/>
              </a:solidFill>
            </a:rPr>
            <a:t> with the selected clusters and relevant information.</a:t>
          </a:r>
          <a:endParaRPr lang="en-GB" sz="11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361950</xdr:colOff>
      <xdr:row>1</xdr:row>
      <xdr:rowOff>5441</xdr:rowOff>
    </xdr:from>
    <xdr:to>
      <xdr:col>9</xdr:col>
      <xdr:colOff>600075</xdr:colOff>
      <xdr:row>6</xdr:row>
      <xdr:rowOff>122465</xdr:rowOff>
    </xdr:to>
    <xdr:sp macro="" textlink="">
      <xdr:nvSpPr>
        <xdr:cNvPr id="2" name="Speech Bubble: Rectangle 1">
          <a:extLst>
            <a:ext uri="{FF2B5EF4-FFF2-40B4-BE49-F238E27FC236}">
              <a16:creationId xmlns:a16="http://schemas.microsoft.com/office/drawing/2014/main" id="{8EF6B4E2-607C-451F-8A9F-A71B98C636DD}"/>
            </a:ext>
          </a:extLst>
        </xdr:cNvPr>
        <xdr:cNvSpPr/>
      </xdr:nvSpPr>
      <xdr:spPr>
        <a:xfrm>
          <a:off x="5972175" y="205466"/>
          <a:ext cx="2105025" cy="1507674"/>
        </a:xfrm>
        <a:prstGeom prst="wedgeRectCallout">
          <a:avLst>
            <a:gd name="adj1" fmla="val -65367"/>
            <a:gd name="adj2" fmla="val -21082"/>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ysClr val="windowText" lastClr="000000"/>
              </a:solidFill>
            </a:rPr>
            <a:t>Step One</a:t>
          </a:r>
          <a:br>
            <a:rPr lang="en-GB" sz="1100">
              <a:solidFill>
                <a:sysClr val="windowText" lastClr="000000"/>
              </a:solidFill>
            </a:rPr>
          </a:br>
          <a:r>
            <a:rPr lang="en-GB" sz="1100">
              <a:solidFill>
                <a:sysClr val="windowText" lastClr="000000"/>
              </a:solidFill>
            </a:rPr>
            <a:t>Sort your</a:t>
          </a:r>
          <a:r>
            <a:rPr lang="en-GB" sz="1100" baseline="0">
              <a:solidFill>
                <a:sysClr val="windowText" lastClr="000000"/>
              </a:solidFill>
            </a:rPr>
            <a:t> data in the manner that fits your sampling scheme, then paste data into columns B to G. Columns B and G are optional but the Lot, Cluster and measures of size must be pasted into columns C, E, F and G.</a:t>
          </a:r>
          <a:endParaRPr lang="en-GB" sz="1100">
            <a:solidFill>
              <a:sysClr val="windowText" lastClr="000000"/>
            </a:solidFill>
          </a:endParaRPr>
        </a:p>
      </xdr:txBody>
    </xdr:sp>
    <xdr:clientData/>
  </xdr:twoCellAnchor>
  <xdr:twoCellAnchor>
    <xdr:from>
      <xdr:col>12</xdr:col>
      <xdr:colOff>224520</xdr:colOff>
      <xdr:row>3</xdr:row>
      <xdr:rowOff>185736</xdr:rowOff>
    </xdr:from>
    <xdr:to>
      <xdr:col>16</xdr:col>
      <xdr:colOff>843645</xdr:colOff>
      <xdr:row>6</xdr:row>
      <xdr:rowOff>61231</xdr:rowOff>
    </xdr:to>
    <xdr:sp macro="" textlink="">
      <xdr:nvSpPr>
        <xdr:cNvPr id="3" name="Speech Bubble: Rectangle 2">
          <a:extLst>
            <a:ext uri="{FF2B5EF4-FFF2-40B4-BE49-F238E27FC236}">
              <a16:creationId xmlns:a16="http://schemas.microsoft.com/office/drawing/2014/main" id="{3F5D8553-44A4-4B9B-BDC4-7E29B376CC74}"/>
            </a:ext>
          </a:extLst>
        </xdr:cNvPr>
        <xdr:cNvSpPr/>
      </xdr:nvSpPr>
      <xdr:spPr>
        <a:xfrm>
          <a:off x="11178270" y="1176336"/>
          <a:ext cx="4486275" cy="475570"/>
        </a:xfrm>
        <a:prstGeom prst="wedgeRectCallout">
          <a:avLst>
            <a:gd name="adj1" fmla="val -54017"/>
            <a:gd name="adj2" fmla="val 20893"/>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ysClr val="windowText" lastClr="000000"/>
              </a:solidFill>
            </a:rPr>
            <a:t>Step Two</a:t>
          </a:r>
          <a:br>
            <a:rPr lang="en-GB" sz="1100">
              <a:solidFill>
                <a:sysClr val="windowText" lastClr="000000"/>
              </a:solidFill>
            </a:rPr>
          </a:br>
          <a:r>
            <a:rPr lang="en-GB" sz="1100">
              <a:solidFill>
                <a:sysClr val="windowText" lastClr="000000"/>
              </a:solidFill>
              <a:effectLst/>
              <a:latin typeface="+mn-lt"/>
              <a:ea typeface="+mn-ea"/>
              <a:cs typeface="+mn-cs"/>
            </a:rPr>
            <a:t>Enter the number of clusters</a:t>
          </a:r>
          <a:r>
            <a:rPr lang="en-GB" sz="1100" baseline="0">
              <a:solidFill>
                <a:sysClr val="windowText" lastClr="000000"/>
              </a:solidFill>
              <a:effectLst/>
              <a:latin typeface="+mn-lt"/>
              <a:ea typeface="+mn-ea"/>
              <a:cs typeface="+mn-cs"/>
            </a:rPr>
            <a:t> to be selected here.</a:t>
          </a:r>
          <a:endParaRPr lang="en-GB" sz="1100">
            <a:solidFill>
              <a:sysClr val="windowText" lastClr="000000"/>
            </a:solidFill>
          </a:endParaRPr>
        </a:p>
      </xdr:txBody>
    </xdr:sp>
    <xdr:clientData/>
  </xdr:twoCellAnchor>
  <xdr:twoCellAnchor>
    <xdr:from>
      <xdr:col>12</xdr:col>
      <xdr:colOff>224520</xdr:colOff>
      <xdr:row>6</xdr:row>
      <xdr:rowOff>104777</xdr:rowOff>
    </xdr:from>
    <xdr:to>
      <xdr:col>16</xdr:col>
      <xdr:colOff>843645</xdr:colOff>
      <xdr:row>9</xdr:row>
      <xdr:rowOff>133352</xdr:rowOff>
    </xdr:to>
    <xdr:sp macro="" textlink="">
      <xdr:nvSpPr>
        <xdr:cNvPr id="4" name="Speech Bubble: Rectangle 3">
          <a:extLst>
            <a:ext uri="{FF2B5EF4-FFF2-40B4-BE49-F238E27FC236}">
              <a16:creationId xmlns:a16="http://schemas.microsoft.com/office/drawing/2014/main" id="{CE11FF7E-F07F-4A51-AA4D-7C35EE773AC7}"/>
            </a:ext>
          </a:extLst>
        </xdr:cNvPr>
        <xdr:cNvSpPr/>
      </xdr:nvSpPr>
      <xdr:spPr>
        <a:xfrm>
          <a:off x="11178270" y="1695452"/>
          <a:ext cx="4486275" cy="638175"/>
        </a:xfrm>
        <a:prstGeom prst="wedgeRectCallout">
          <a:avLst>
            <a:gd name="adj1" fmla="val -54114"/>
            <a:gd name="adj2" fmla="val -20774"/>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ysClr val="windowText" lastClr="000000"/>
              </a:solidFill>
            </a:rPr>
            <a:t>Step Three</a:t>
          </a:r>
          <a:br>
            <a:rPr lang="en-GB" sz="1100">
              <a:solidFill>
                <a:sysClr val="windowText" lastClr="000000"/>
              </a:solidFill>
            </a:rPr>
          </a:br>
          <a:r>
            <a:rPr lang="en-GB" sz="1100">
              <a:solidFill>
                <a:sysClr val="windowText" lastClr="000000"/>
              </a:solidFill>
              <a:effectLst/>
              <a:latin typeface="+mn-lt"/>
              <a:ea typeface="+mn-ea"/>
              <a:cs typeface="+mn-cs"/>
            </a:rPr>
            <a:t>Refresh the worksheet</a:t>
          </a:r>
          <a:r>
            <a:rPr lang="en-GB" sz="1100" baseline="0">
              <a:solidFill>
                <a:sysClr val="windowText" lastClr="000000"/>
              </a:solidFill>
              <a:effectLst/>
              <a:latin typeface="+mn-lt"/>
              <a:ea typeface="+mn-ea"/>
              <a:cs typeface="+mn-cs"/>
            </a:rPr>
            <a:t> (press F9) to generate a new random number in M6 then copy and "Paste as value" here.</a:t>
          </a:r>
          <a:endParaRPr lang="en-GB" sz="1100">
            <a:solidFill>
              <a:sysClr val="windowText" lastClr="000000"/>
            </a:solidFill>
          </a:endParaRPr>
        </a:p>
      </xdr:txBody>
    </xdr:sp>
    <xdr:clientData/>
  </xdr:twoCellAnchor>
  <xdr:twoCellAnchor>
    <xdr:from>
      <xdr:col>17</xdr:col>
      <xdr:colOff>234041</xdr:colOff>
      <xdr:row>11</xdr:row>
      <xdr:rowOff>66674</xdr:rowOff>
    </xdr:from>
    <xdr:to>
      <xdr:col>20</xdr:col>
      <xdr:colOff>14966</xdr:colOff>
      <xdr:row>14</xdr:row>
      <xdr:rowOff>104775</xdr:rowOff>
    </xdr:to>
    <xdr:sp macro="" textlink="">
      <xdr:nvSpPr>
        <xdr:cNvPr id="5" name="Speech Bubble: Rectangle 4">
          <a:extLst>
            <a:ext uri="{FF2B5EF4-FFF2-40B4-BE49-F238E27FC236}">
              <a16:creationId xmlns:a16="http://schemas.microsoft.com/office/drawing/2014/main" id="{03116192-6B58-42F8-8360-D355C0C491C1}"/>
            </a:ext>
          </a:extLst>
        </xdr:cNvPr>
        <xdr:cNvSpPr/>
      </xdr:nvSpPr>
      <xdr:spPr>
        <a:xfrm>
          <a:off x="16083641" y="2676524"/>
          <a:ext cx="1609725" cy="800101"/>
        </a:xfrm>
        <a:prstGeom prst="wedgeRectCallout">
          <a:avLst>
            <a:gd name="adj1" fmla="val -60327"/>
            <a:gd name="adj2" fmla="val -20125"/>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ysClr val="windowText" lastClr="000000"/>
              </a:solidFill>
            </a:rPr>
            <a:t>Step Four</a:t>
          </a:r>
          <a:br>
            <a:rPr lang="en-GB" sz="1100">
              <a:solidFill>
                <a:sysClr val="windowText" lastClr="000000"/>
              </a:solidFill>
            </a:rPr>
          </a:br>
          <a:r>
            <a:rPr lang="en-GB" sz="1100">
              <a:solidFill>
                <a:sysClr val="windowText" lastClr="000000"/>
              </a:solidFill>
            </a:rPr>
            <a:t>This table auto-populates</a:t>
          </a:r>
          <a:r>
            <a:rPr lang="en-GB" sz="1100" baseline="0">
              <a:solidFill>
                <a:sysClr val="windowText" lastClr="000000"/>
              </a:solidFill>
            </a:rPr>
            <a:t> with the selected clusters and relevant information.</a:t>
          </a:r>
          <a:endParaRPr lang="en-GB"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E425B-88E7-46F4-82DD-06914143E5C3}">
  <dimension ref="B7:E23"/>
  <sheetViews>
    <sheetView tabSelected="1" zoomScaleNormal="100" workbookViewId="0"/>
  </sheetViews>
  <sheetFormatPr defaultRowHeight="15" x14ac:dyDescent="0.25"/>
  <cols>
    <col min="1" max="1" width="2.85546875" style="11" customWidth="1"/>
    <col min="2" max="2" width="123.85546875" style="11" customWidth="1"/>
    <col min="3" max="4" width="5.7109375" style="11" customWidth="1"/>
    <col min="5" max="16384" width="9.140625" style="11"/>
  </cols>
  <sheetData>
    <row r="7" spans="2:5" ht="18.75" x14ac:dyDescent="0.3">
      <c r="B7" s="41" t="s">
        <v>292</v>
      </c>
    </row>
    <row r="8" spans="2:5" ht="18.75" x14ac:dyDescent="0.3">
      <c r="B8" s="41" t="s">
        <v>293</v>
      </c>
    </row>
    <row r="10" spans="2:5" ht="15.75" x14ac:dyDescent="0.25">
      <c r="B10" s="45" t="s">
        <v>294</v>
      </c>
    </row>
    <row r="11" spans="2:5" ht="255" x14ac:dyDescent="0.25">
      <c r="B11" s="43" t="s">
        <v>301</v>
      </c>
    </row>
    <row r="13" spans="2:5" ht="15.75" x14ac:dyDescent="0.25">
      <c r="B13" s="45" t="s">
        <v>295</v>
      </c>
      <c r="E13" s="40" t="s">
        <v>300</v>
      </c>
    </row>
    <row r="14" spans="2:5" ht="390" x14ac:dyDescent="0.25">
      <c r="B14" s="43" t="s">
        <v>302</v>
      </c>
    </row>
    <row r="15" spans="2:5" x14ac:dyDescent="0.25">
      <c r="B15" s="42"/>
    </row>
    <row r="16" spans="2:5" ht="15.75" x14ac:dyDescent="0.25">
      <c r="B16" s="45" t="s">
        <v>296</v>
      </c>
    </row>
    <row r="17" spans="2:2" ht="30" x14ac:dyDescent="0.25">
      <c r="B17" s="43" t="s">
        <v>303</v>
      </c>
    </row>
    <row r="19" spans="2:2" ht="15.75" x14ac:dyDescent="0.25">
      <c r="B19" s="45" t="s">
        <v>297</v>
      </c>
    </row>
    <row r="20" spans="2:2" ht="45" x14ac:dyDescent="0.25">
      <c r="B20" s="43" t="s">
        <v>304</v>
      </c>
    </row>
    <row r="22" spans="2:2" ht="15.75" x14ac:dyDescent="0.25">
      <c r="B22" s="45" t="s">
        <v>298</v>
      </c>
    </row>
    <row r="23" spans="2:2" ht="360" x14ac:dyDescent="0.25">
      <c r="B23" s="44" t="s">
        <v>299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60A0-6400-4DF2-850C-986AD36F2FE2}">
  <dimension ref="B1:Q274"/>
  <sheetViews>
    <sheetView zoomScaleNormal="100" workbookViewId="0"/>
  </sheetViews>
  <sheetFormatPr defaultRowHeight="15" x14ac:dyDescent="0.25"/>
  <cols>
    <col min="1" max="1" width="2.85546875" customWidth="1"/>
    <col min="2" max="2" width="12" customWidth="1"/>
    <col min="4" max="4" width="14" bestFit="1" customWidth="1"/>
    <col min="5" max="5" width="23.28515625" bestFit="1" customWidth="1"/>
    <col min="6" max="7" width="11.42578125" customWidth="1"/>
    <col min="8" max="10" width="14" customWidth="1"/>
    <col min="11" max="11" width="22.85546875" bestFit="1" customWidth="1"/>
    <col min="12" max="12" width="15.28515625" customWidth="1"/>
    <col min="13" max="14" width="12.42578125" customWidth="1"/>
    <col min="15" max="15" width="14" bestFit="1" customWidth="1"/>
    <col min="16" max="16" width="19.140625" bestFit="1" customWidth="1"/>
    <col min="17" max="17" width="15.42578125" customWidth="1"/>
  </cols>
  <sheetData>
    <row r="1" spans="2:17" ht="15.75" thickBot="1" x14ac:dyDescent="0.3"/>
    <row r="2" spans="2:17" ht="46.5" thickTop="1" thickBot="1" x14ac:dyDescent="0.3">
      <c r="B2" s="14" t="s">
        <v>284</v>
      </c>
      <c r="C2" s="15" t="s">
        <v>285</v>
      </c>
      <c r="D2" s="16" t="s">
        <v>283</v>
      </c>
      <c r="E2" s="15" t="s">
        <v>286</v>
      </c>
      <c r="F2" s="15" t="s">
        <v>287</v>
      </c>
      <c r="G2" s="17" t="s">
        <v>282</v>
      </c>
      <c r="H2" s="7"/>
      <c r="I2" s="7"/>
      <c r="J2" s="7"/>
    </row>
    <row r="3" spans="2:17" ht="15.75" thickTop="1" x14ac:dyDescent="0.25">
      <c r="B3" t="s">
        <v>0</v>
      </c>
      <c r="C3" t="s">
        <v>1</v>
      </c>
      <c r="D3" t="s">
        <v>2</v>
      </c>
      <c r="E3" t="s">
        <v>3</v>
      </c>
      <c r="F3" s="3">
        <v>7</v>
      </c>
      <c r="G3" s="4">
        <f>F3</f>
        <v>7</v>
      </c>
      <c r="H3" s="4"/>
      <c r="I3" s="4"/>
      <c r="J3" s="4"/>
      <c r="O3" s="2"/>
    </row>
    <row r="4" spans="2:17" x14ac:dyDescent="0.25">
      <c r="B4" t="s">
        <v>0</v>
      </c>
      <c r="C4" t="s">
        <v>1</v>
      </c>
      <c r="D4" t="s">
        <v>2</v>
      </c>
      <c r="E4" t="s">
        <v>4</v>
      </c>
      <c r="F4" s="3">
        <v>32</v>
      </c>
      <c r="G4" s="4">
        <f t="shared" ref="G4:G67" si="0">G3+F4</f>
        <v>39</v>
      </c>
      <c r="H4" s="4"/>
      <c r="I4" s="4"/>
      <c r="J4" s="4"/>
      <c r="K4" s="8" t="s">
        <v>288</v>
      </c>
      <c r="L4" s="1"/>
      <c r="M4" s="2"/>
      <c r="N4" s="2"/>
      <c r="P4" s="2"/>
      <c r="Q4" s="2"/>
    </row>
    <row r="5" spans="2:17" ht="15.75" thickBot="1" x14ac:dyDescent="0.3">
      <c r="B5" t="s">
        <v>0</v>
      </c>
      <c r="C5" t="s">
        <v>1</v>
      </c>
      <c r="D5" t="s">
        <v>2</v>
      </c>
      <c r="E5" t="s">
        <v>5</v>
      </c>
      <c r="F5" s="3">
        <v>65</v>
      </c>
      <c r="G5" s="4">
        <f t="shared" si="0"/>
        <v>104</v>
      </c>
      <c r="H5" s="4"/>
      <c r="I5" s="4"/>
      <c r="J5" s="4"/>
      <c r="K5" s="9" t="s">
        <v>6</v>
      </c>
      <c r="L5" s="12">
        <f>IF(G3&lt;&gt;"",MAX(G:G),"")</f>
        <v>45252</v>
      </c>
      <c r="M5" s="2"/>
      <c r="N5" s="2"/>
      <c r="O5" s="2"/>
      <c r="P5" s="2"/>
      <c r="Q5" s="2"/>
    </row>
    <row r="6" spans="2:17" ht="16.5" thickTop="1" thickBot="1" x14ac:dyDescent="0.3">
      <c r="B6" t="s">
        <v>0</v>
      </c>
      <c r="C6" t="s">
        <v>1</v>
      </c>
      <c r="D6" t="s">
        <v>2</v>
      </c>
      <c r="E6" t="s">
        <v>7</v>
      </c>
      <c r="F6" s="3">
        <v>22</v>
      </c>
      <c r="G6" s="4">
        <f t="shared" si="0"/>
        <v>126</v>
      </c>
      <c r="H6" s="4"/>
      <c r="I6" s="4"/>
      <c r="J6" s="4"/>
      <c r="K6" s="9" t="s">
        <v>8</v>
      </c>
      <c r="L6" s="19">
        <v>6</v>
      </c>
      <c r="M6" s="2"/>
      <c r="N6" s="2"/>
      <c r="O6" s="2"/>
      <c r="P6" s="2"/>
      <c r="Q6" s="2"/>
    </row>
    <row r="7" spans="2:17" ht="15.75" thickTop="1" x14ac:dyDescent="0.25">
      <c r="B7" t="s">
        <v>0</v>
      </c>
      <c r="C7" t="s">
        <v>1</v>
      </c>
      <c r="D7" t="s">
        <v>2</v>
      </c>
      <c r="E7" t="s">
        <v>9</v>
      </c>
      <c r="F7" s="3">
        <v>49</v>
      </c>
      <c r="G7" s="4">
        <f t="shared" si="0"/>
        <v>175</v>
      </c>
      <c r="H7" s="4"/>
      <c r="I7" s="4"/>
      <c r="J7" s="4"/>
      <c r="K7" s="10" t="s">
        <v>10</v>
      </c>
      <c r="L7" s="18">
        <f>IF(L5&lt;&gt;"",ROUND(L5/L6,0),"")</f>
        <v>7542</v>
      </c>
      <c r="M7" s="2"/>
      <c r="N7" s="2"/>
      <c r="O7" s="2"/>
      <c r="P7" s="2"/>
      <c r="Q7" s="2"/>
    </row>
    <row r="8" spans="2:17" ht="15.75" thickBot="1" x14ac:dyDescent="0.3">
      <c r="B8" t="s">
        <v>0</v>
      </c>
      <c r="C8" t="s">
        <v>1</v>
      </c>
      <c r="D8" t="s">
        <v>2</v>
      </c>
      <c r="E8" t="s">
        <v>11</v>
      </c>
      <c r="F8" s="3">
        <v>426</v>
      </c>
      <c r="G8" s="4">
        <f t="shared" si="0"/>
        <v>601</v>
      </c>
      <c r="H8" s="4"/>
      <c r="I8" s="4"/>
      <c r="J8" s="4"/>
      <c r="K8" s="9" t="s">
        <v>280</v>
      </c>
      <c r="L8" s="13">
        <f ca="1">IF(L7="","",RANDBETWEEN(1,L7))</f>
        <v>4672</v>
      </c>
      <c r="M8" s="2"/>
      <c r="N8" s="2"/>
      <c r="O8" s="2"/>
      <c r="P8" s="2"/>
      <c r="Q8" s="2"/>
    </row>
    <row r="9" spans="2:17" ht="16.5" thickTop="1" thickBot="1" x14ac:dyDescent="0.3">
      <c r="B9" t="s">
        <v>0</v>
      </c>
      <c r="C9" t="s">
        <v>1</v>
      </c>
      <c r="D9" t="s">
        <v>2</v>
      </c>
      <c r="E9" t="s">
        <v>12</v>
      </c>
      <c r="F9" s="3">
        <v>232</v>
      </c>
      <c r="G9" s="4">
        <f t="shared" si="0"/>
        <v>833</v>
      </c>
      <c r="H9" s="4"/>
      <c r="I9" s="4"/>
      <c r="J9" s="4"/>
      <c r="K9" s="9" t="s">
        <v>281</v>
      </c>
      <c r="L9" s="20">
        <v>3215</v>
      </c>
      <c r="M9" s="2"/>
      <c r="N9" s="2"/>
      <c r="O9" s="2"/>
      <c r="P9" s="2"/>
      <c r="Q9" s="2"/>
    </row>
    <row r="10" spans="2:17" ht="16.5" thickTop="1" thickBot="1" x14ac:dyDescent="0.3">
      <c r="B10" t="s">
        <v>0</v>
      </c>
      <c r="C10" t="s">
        <v>1</v>
      </c>
      <c r="D10" t="s">
        <v>2</v>
      </c>
      <c r="E10" t="s">
        <v>13</v>
      </c>
      <c r="F10" s="3">
        <v>15</v>
      </c>
      <c r="G10" s="4">
        <f t="shared" si="0"/>
        <v>848</v>
      </c>
      <c r="H10" s="4"/>
      <c r="I10" s="4"/>
      <c r="J10" s="4"/>
      <c r="K10" s="2"/>
      <c r="L10" s="2"/>
      <c r="M10" s="2"/>
      <c r="N10" s="2"/>
      <c r="O10" s="2"/>
      <c r="P10" s="2"/>
      <c r="Q10" s="2"/>
    </row>
    <row r="11" spans="2:17" ht="15.75" thickTop="1" x14ac:dyDescent="0.25">
      <c r="B11" t="s">
        <v>0</v>
      </c>
      <c r="C11" t="s">
        <v>1</v>
      </c>
      <c r="D11" t="s">
        <v>2</v>
      </c>
      <c r="E11" t="s">
        <v>16</v>
      </c>
      <c r="F11" s="3">
        <v>22</v>
      </c>
      <c r="G11" s="4">
        <f t="shared" si="0"/>
        <v>870</v>
      </c>
      <c r="H11" s="4"/>
      <c r="I11" s="4"/>
      <c r="J11" s="4"/>
      <c r="K11" s="49"/>
      <c r="L11" s="50"/>
      <c r="M11" s="51"/>
      <c r="N11" s="46" t="str">
        <f>_xlfn.CONCAT("Random cluster selection (by PPS) for Lot : ",$C$3)</f>
        <v>Random cluster selection (by PPS) for Lot : KPANDAI</v>
      </c>
      <c r="O11" s="47"/>
      <c r="P11" s="47"/>
      <c r="Q11" s="48"/>
    </row>
    <row r="12" spans="2:17" ht="30" x14ac:dyDescent="0.25">
      <c r="B12" t="s">
        <v>0</v>
      </c>
      <c r="C12" t="s">
        <v>1</v>
      </c>
      <c r="D12" t="s">
        <v>2</v>
      </c>
      <c r="E12" t="s">
        <v>17</v>
      </c>
      <c r="F12" s="3">
        <v>98</v>
      </c>
      <c r="G12" s="4">
        <f t="shared" si="0"/>
        <v>968</v>
      </c>
      <c r="H12" s="4"/>
      <c r="I12" s="4"/>
      <c r="J12" s="4"/>
      <c r="K12" s="33" t="s">
        <v>289</v>
      </c>
      <c r="L12" s="29" t="s">
        <v>14</v>
      </c>
      <c r="M12" s="34" t="s">
        <v>291</v>
      </c>
      <c r="N12" s="21" t="s">
        <v>289</v>
      </c>
      <c r="O12" s="22" t="s">
        <v>290</v>
      </c>
      <c r="P12" s="22" t="s">
        <v>286</v>
      </c>
      <c r="Q12" s="23" t="s">
        <v>15</v>
      </c>
    </row>
    <row r="13" spans="2:17" x14ac:dyDescent="0.25">
      <c r="B13" t="s">
        <v>0</v>
      </c>
      <c r="C13" t="s">
        <v>1</v>
      </c>
      <c r="D13" t="s">
        <v>2</v>
      </c>
      <c r="E13" t="s">
        <v>18</v>
      </c>
      <c r="F13" s="3">
        <v>309</v>
      </c>
      <c r="G13" s="4">
        <f t="shared" si="0"/>
        <v>1277</v>
      </c>
      <c r="H13" s="4"/>
      <c r="I13" s="4"/>
      <c r="J13" s="4"/>
      <c r="K13" s="35">
        <v>1</v>
      </c>
      <c r="L13" s="30">
        <f>IF(G3&lt;&gt;"",L9,"")</f>
        <v>3215</v>
      </c>
      <c r="M13" s="36">
        <f t="shared" ref="M13:M18" si="1">_xlfn.XLOOKUP($L13,$G$3:$G$401,$G$3:$G$401,,1,)</f>
        <v>3230</v>
      </c>
      <c r="N13" s="31">
        <v>1</v>
      </c>
      <c r="O13" s="5" t="str">
        <f t="shared" ref="O13:O18" si="2">_xlfn.XLOOKUP($L13,$G$3:$G$401,$D$3:$D$401,,1,)</f>
        <v>KABONWULE</v>
      </c>
      <c r="P13" s="5" t="str">
        <f t="shared" ref="P13:P18" si="3">_xlfn.XLOOKUP($L13,$G$3:$G$401,$E$3:$E$401,,1,)</f>
        <v>SANGURI B</v>
      </c>
      <c r="Q13" s="24">
        <f t="shared" ref="Q13:Q18" si="4">_xlfn.XLOOKUP($L13,$G$3:$G$401,$F$3:$F$401,,1,)</f>
        <v>146</v>
      </c>
    </row>
    <row r="14" spans="2:17" x14ac:dyDescent="0.25">
      <c r="B14" t="s">
        <v>0</v>
      </c>
      <c r="C14" t="s">
        <v>1</v>
      </c>
      <c r="D14" t="s">
        <v>2</v>
      </c>
      <c r="E14" t="s">
        <v>19</v>
      </c>
      <c r="F14" s="3">
        <v>354</v>
      </c>
      <c r="G14" s="4">
        <f t="shared" si="0"/>
        <v>1631</v>
      </c>
      <c r="H14" s="4"/>
      <c r="I14" s="4"/>
      <c r="J14" s="4"/>
      <c r="K14" s="35">
        <v>2</v>
      </c>
      <c r="L14" s="30">
        <f>IF($L$7&lt;&gt;"",L13+$L$7,"")</f>
        <v>10757</v>
      </c>
      <c r="M14" s="36">
        <f t="shared" si="1"/>
        <v>10856</v>
      </c>
      <c r="N14" s="31">
        <v>2</v>
      </c>
      <c r="O14" s="5" t="str">
        <f t="shared" si="2"/>
        <v>KPANDAI</v>
      </c>
      <c r="P14" s="5" t="str">
        <f t="shared" si="3"/>
        <v>BALAI NORTH</v>
      </c>
      <c r="Q14" s="24">
        <f t="shared" si="4"/>
        <v>370</v>
      </c>
    </row>
    <row r="15" spans="2:17" x14ac:dyDescent="0.25">
      <c r="B15" t="s">
        <v>0</v>
      </c>
      <c r="C15" t="s">
        <v>1</v>
      </c>
      <c r="D15" t="s">
        <v>2</v>
      </c>
      <c r="E15" t="s">
        <v>20</v>
      </c>
      <c r="F15" s="3">
        <v>23</v>
      </c>
      <c r="G15" s="4">
        <f t="shared" si="0"/>
        <v>1654</v>
      </c>
      <c r="H15" s="4"/>
      <c r="I15" s="4"/>
      <c r="J15" s="4"/>
      <c r="K15" s="35">
        <v>3</v>
      </c>
      <c r="L15" s="30">
        <f>IF($L$7&lt;&gt;"",L14+$L$7,"")</f>
        <v>18299</v>
      </c>
      <c r="M15" s="36">
        <f t="shared" si="1"/>
        <v>18379</v>
      </c>
      <c r="N15" s="31">
        <v>3</v>
      </c>
      <c r="O15" s="5" t="str">
        <f t="shared" si="2"/>
        <v>KPANDAI</v>
      </c>
      <c r="P15" s="5" t="str">
        <f t="shared" si="3"/>
        <v>KPANDAI AREA 1</v>
      </c>
      <c r="Q15" s="24">
        <f t="shared" si="4"/>
        <v>208</v>
      </c>
    </row>
    <row r="16" spans="2:17" x14ac:dyDescent="0.25">
      <c r="B16" t="s">
        <v>0</v>
      </c>
      <c r="C16" t="s">
        <v>1</v>
      </c>
      <c r="D16" t="s">
        <v>2</v>
      </c>
      <c r="E16" t="s">
        <v>21</v>
      </c>
      <c r="F16" s="3">
        <v>38</v>
      </c>
      <c r="G16" s="4">
        <f t="shared" si="0"/>
        <v>1692</v>
      </c>
      <c r="H16" s="4"/>
      <c r="I16" s="4"/>
      <c r="J16" s="4"/>
      <c r="K16" s="35">
        <v>4</v>
      </c>
      <c r="L16" s="30">
        <f>IF($L$7&lt;&gt;"",L15+$L$7,"")</f>
        <v>25841</v>
      </c>
      <c r="M16" s="36">
        <f t="shared" si="1"/>
        <v>25883</v>
      </c>
      <c r="N16" s="31">
        <v>4</v>
      </c>
      <c r="O16" s="5" t="str">
        <f t="shared" si="2"/>
        <v>KUMDI</v>
      </c>
      <c r="P16" s="5" t="str">
        <f t="shared" si="3"/>
        <v>BINGODO</v>
      </c>
      <c r="Q16" s="24">
        <f t="shared" si="4"/>
        <v>186</v>
      </c>
    </row>
    <row r="17" spans="2:17" x14ac:dyDescent="0.25">
      <c r="B17" t="s">
        <v>0</v>
      </c>
      <c r="C17" t="s">
        <v>1</v>
      </c>
      <c r="D17" t="s">
        <v>2</v>
      </c>
      <c r="E17" t="s">
        <v>22</v>
      </c>
      <c r="F17" s="3">
        <v>38</v>
      </c>
      <c r="G17" s="4">
        <f t="shared" si="0"/>
        <v>1730</v>
      </c>
      <c r="H17" s="4"/>
      <c r="I17" s="4"/>
      <c r="J17" s="4"/>
      <c r="K17" s="35">
        <v>5</v>
      </c>
      <c r="L17" s="30">
        <f>IF($L$7&lt;&gt;"",L16+$L$7,"")</f>
        <v>33383</v>
      </c>
      <c r="M17" s="36">
        <f t="shared" si="1"/>
        <v>33407</v>
      </c>
      <c r="N17" s="31">
        <v>5</v>
      </c>
      <c r="O17" s="5" t="str">
        <f t="shared" si="2"/>
        <v>KUMDI</v>
      </c>
      <c r="P17" s="5" t="str">
        <f t="shared" si="3"/>
        <v>QUARTAPE</v>
      </c>
      <c r="Q17" s="24">
        <f t="shared" si="4"/>
        <v>192</v>
      </c>
    </row>
    <row r="18" spans="2:17" ht="15.75" thickBot="1" x14ac:dyDescent="0.3">
      <c r="B18" t="s">
        <v>0</v>
      </c>
      <c r="C18" t="s">
        <v>1</v>
      </c>
      <c r="D18" t="s">
        <v>2</v>
      </c>
      <c r="E18" t="s">
        <v>23</v>
      </c>
      <c r="F18" s="3">
        <v>54</v>
      </c>
      <c r="G18" s="4">
        <f t="shared" si="0"/>
        <v>1784</v>
      </c>
      <c r="H18" s="4"/>
      <c r="I18" s="4"/>
      <c r="J18" s="4"/>
      <c r="K18" s="37">
        <v>6</v>
      </c>
      <c r="L18" s="38">
        <f>IF($L$7&lt;&gt;"",L17+$L$7,"")</f>
        <v>40925</v>
      </c>
      <c r="M18" s="39">
        <f t="shared" si="1"/>
        <v>40986</v>
      </c>
      <c r="N18" s="32">
        <v>6</v>
      </c>
      <c r="O18" s="25" t="str">
        <f t="shared" si="2"/>
        <v>SABONJIDA</v>
      </c>
      <c r="P18" s="25" t="str">
        <f t="shared" si="3"/>
        <v>KPADJAI NO. 2</v>
      </c>
      <c r="Q18" s="26">
        <f t="shared" si="4"/>
        <v>97</v>
      </c>
    </row>
    <row r="19" spans="2:17" ht="15.75" thickTop="1" x14ac:dyDescent="0.25">
      <c r="B19" t="s">
        <v>0</v>
      </c>
      <c r="C19" t="s">
        <v>1</v>
      </c>
      <c r="D19" t="s">
        <v>2</v>
      </c>
      <c r="E19" t="s">
        <v>24</v>
      </c>
      <c r="F19" s="3">
        <v>264</v>
      </c>
      <c r="G19" s="4">
        <f t="shared" si="0"/>
        <v>2048</v>
      </c>
      <c r="H19" s="4"/>
      <c r="I19" s="4"/>
      <c r="J19" s="4"/>
      <c r="K19" s="6"/>
      <c r="L19" s="6"/>
      <c r="M19" s="6"/>
      <c r="N19" s="6"/>
      <c r="O19" s="6"/>
      <c r="P19" s="6"/>
      <c r="Q19" s="6"/>
    </row>
    <row r="20" spans="2:17" x14ac:dyDescent="0.25">
      <c r="B20" t="s">
        <v>0</v>
      </c>
      <c r="C20" t="s">
        <v>1</v>
      </c>
      <c r="D20" t="s">
        <v>2</v>
      </c>
      <c r="E20" t="s">
        <v>25</v>
      </c>
      <c r="F20" s="3">
        <v>338</v>
      </c>
      <c r="G20" s="4">
        <f t="shared" si="0"/>
        <v>2386</v>
      </c>
      <c r="H20" s="4"/>
      <c r="I20" s="4"/>
      <c r="J20" s="4"/>
      <c r="K20" s="6"/>
      <c r="L20" s="6"/>
      <c r="M20" s="6"/>
      <c r="N20" s="6"/>
      <c r="P20" s="27"/>
      <c r="Q20" s="28"/>
    </row>
    <row r="21" spans="2:17" x14ac:dyDescent="0.25">
      <c r="B21" t="s">
        <v>0</v>
      </c>
      <c r="C21" t="s">
        <v>1</v>
      </c>
      <c r="D21" t="s">
        <v>2</v>
      </c>
      <c r="E21" t="s">
        <v>26</v>
      </c>
      <c r="F21" s="3">
        <v>65</v>
      </c>
      <c r="G21" s="4">
        <f t="shared" si="0"/>
        <v>2451</v>
      </c>
      <c r="H21" s="4"/>
      <c r="I21" s="4"/>
      <c r="J21" s="4"/>
      <c r="K21" s="6"/>
      <c r="L21" s="6"/>
      <c r="M21" s="6"/>
      <c r="N21" s="6"/>
      <c r="P21" s="27"/>
      <c r="Q21" s="28"/>
    </row>
    <row r="22" spans="2:17" x14ac:dyDescent="0.25">
      <c r="B22" t="s">
        <v>0</v>
      </c>
      <c r="C22" t="s">
        <v>1</v>
      </c>
      <c r="D22" t="s">
        <v>2</v>
      </c>
      <c r="E22" t="s">
        <v>27</v>
      </c>
      <c r="F22" s="3">
        <v>27</v>
      </c>
      <c r="G22" s="4">
        <f t="shared" si="0"/>
        <v>2478</v>
      </c>
      <c r="H22" s="4"/>
      <c r="I22" s="4"/>
      <c r="J22" s="4"/>
      <c r="K22" s="2"/>
    </row>
    <row r="23" spans="2:17" x14ac:dyDescent="0.25">
      <c r="B23" t="s">
        <v>0</v>
      </c>
      <c r="C23" t="s">
        <v>1</v>
      </c>
      <c r="D23" t="s">
        <v>2</v>
      </c>
      <c r="E23" t="s">
        <v>28</v>
      </c>
      <c r="F23" s="3">
        <v>24</v>
      </c>
      <c r="G23" s="4">
        <f t="shared" si="0"/>
        <v>2502</v>
      </c>
      <c r="H23" s="4"/>
      <c r="I23" s="4"/>
      <c r="J23" s="4"/>
      <c r="K23" s="6"/>
    </row>
    <row r="24" spans="2:17" x14ac:dyDescent="0.25">
      <c r="B24" t="s">
        <v>0</v>
      </c>
      <c r="C24" t="s">
        <v>1</v>
      </c>
      <c r="D24" t="s">
        <v>2</v>
      </c>
      <c r="E24" t="s">
        <v>29</v>
      </c>
      <c r="F24" s="3">
        <v>80</v>
      </c>
      <c r="G24" s="4">
        <f t="shared" si="0"/>
        <v>2582</v>
      </c>
      <c r="H24" s="4"/>
      <c r="I24" s="4"/>
      <c r="J24" s="4"/>
      <c r="K24" s="6"/>
    </row>
    <row r="25" spans="2:17" x14ac:dyDescent="0.25">
      <c r="B25" t="s">
        <v>0</v>
      </c>
      <c r="C25" t="s">
        <v>1</v>
      </c>
      <c r="D25" t="s">
        <v>2</v>
      </c>
      <c r="E25" t="s">
        <v>30</v>
      </c>
      <c r="F25" s="3">
        <v>10</v>
      </c>
      <c r="G25" s="4">
        <f t="shared" si="0"/>
        <v>2592</v>
      </c>
      <c r="H25" s="4"/>
      <c r="I25" s="4"/>
      <c r="J25" s="4"/>
    </row>
    <row r="26" spans="2:17" x14ac:dyDescent="0.25">
      <c r="B26" t="s">
        <v>0</v>
      </c>
      <c r="C26" t="s">
        <v>1</v>
      </c>
      <c r="D26" t="s">
        <v>2</v>
      </c>
      <c r="E26" t="s">
        <v>31</v>
      </c>
      <c r="F26" s="3">
        <v>43</v>
      </c>
      <c r="G26" s="4">
        <f t="shared" si="0"/>
        <v>2635</v>
      </c>
      <c r="H26" s="4"/>
      <c r="I26" s="4"/>
      <c r="J26" s="4"/>
    </row>
    <row r="27" spans="2:17" x14ac:dyDescent="0.25">
      <c r="B27" t="s">
        <v>0</v>
      </c>
      <c r="C27" t="s">
        <v>1</v>
      </c>
      <c r="D27" t="s">
        <v>2</v>
      </c>
      <c r="E27" t="s">
        <v>32</v>
      </c>
      <c r="F27" s="3">
        <v>27</v>
      </c>
      <c r="G27" s="4">
        <f t="shared" si="0"/>
        <v>2662</v>
      </c>
      <c r="H27" s="4"/>
      <c r="I27" s="4"/>
      <c r="J27" s="4"/>
    </row>
    <row r="28" spans="2:17" x14ac:dyDescent="0.25">
      <c r="B28" t="s">
        <v>0</v>
      </c>
      <c r="C28" t="s">
        <v>1</v>
      </c>
      <c r="D28" t="s">
        <v>2</v>
      </c>
      <c r="E28" t="s">
        <v>33</v>
      </c>
      <c r="F28" s="3">
        <v>23</v>
      </c>
      <c r="G28" s="4">
        <f t="shared" si="0"/>
        <v>2685</v>
      </c>
      <c r="H28" s="4"/>
      <c r="I28" s="4"/>
      <c r="J28" s="4"/>
    </row>
    <row r="29" spans="2:17" x14ac:dyDescent="0.25">
      <c r="B29" t="s">
        <v>0</v>
      </c>
      <c r="C29" t="s">
        <v>1</v>
      </c>
      <c r="D29" t="s">
        <v>2</v>
      </c>
      <c r="E29" t="s">
        <v>34</v>
      </c>
      <c r="F29" s="3">
        <v>78</v>
      </c>
      <c r="G29" s="4">
        <f t="shared" si="0"/>
        <v>2763</v>
      </c>
      <c r="H29" s="4"/>
      <c r="I29" s="4"/>
      <c r="J29" s="4"/>
    </row>
    <row r="30" spans="2:17" x14ac:dyDescent="0.25">
      <c r="B30" t="s">
        <v>0</v>
      </c>
      <c r="C30" t="s">
        <v>1</v>
      </c>
      <c r="D30" t="s">
        <v>2</v>
      </c>
      <c r="E30" t="s">
        <v>35</v>
      </c>
      <c r="F30" s="3">
        <v>46</v>
      </c>
      <c r="G30" s="4">
        <f t="shared" si="0"/>
        <v>2809</v>
      </c>
      <c r="H30" s="4"/>
      <c r="I30" s="4"/>
      <c r="J30" s="4"/>
    </row>
    <row r="31" spans="2:17" x14ac:dyDescent="0.25">
      <c r="B31" t="s">
        <v>0</v>
      </c>
      <c r="C31" t="s">
        <v>1</v>
      </c>
      <c r="D31" t="s">
        <v>2</v>
      </c>
      <c r="E31" t="s">
        <v>36</v>
      </c>
      <c r="F31" s="3">
        <v>275</v>
      </c>
      <c r="G31" s="4">
        <f t="shared" si="0"/>
        <v>3084</v>
      </c>
      <c r="H31" s="4"/>
      <c r="I31" s="4"/>
      <c r="J31" s="4"/>
    </row>
    <row r="32" spans="2:17" x14ac:dyDescent="0.25">
      <c r="B32" t="s">
        <v>0</v>
      </c>
      <c r="C32" t="s">
        <v>1</v>
      </c>
      <c r="D32" t="s">
        <v>2</v>
      </c>
      <c r="E32" t="s">
        <v>37</v>
      </c>
      <c r="F32" s="3">
        <v>146</v>
      </c>
      <c r="G32" s="4">
        <f t="shared" si="0"/>
        <v>3230</v>
      </c>
      <c r="H32" s="4"/>
      <c r="I32" s="4"/>
      <c r="J32" s="4"/>
    </row>
    <row r="33" spans="2:10" x14ac:dyDescent="0.25">
      <c r="B33" t="s">
        <v>0</v>
      </c>
      <c r="C33" t="s">
        <v>1</v>
      </c>
      <c r="D33" t="s">
        <v>2</v>
      </c>
      <c r="E33" t="s">
        <v>38</v>
      </c>
      <c r="F33" s="3">
        <v>113</v>
      </c>
      <c r="G33" s="4">
        <f t="shared" si="0"/>
        <v>3343</v>
      </c>
      <c r="H33" s="4"/>
      <c r="I33" s="4"/>
      <c r="J33" s="4"/>
    </row>
    <row r="34" spans="2:10" x14ac:dyDescent="0.25">
      <c r="B34" t="s">
        <v>0</v>
      </c>
      <c r="C34" t="s">
        <v>1</v>
      </c>
      <c r="D34" t="s">
        <v>2</v>
      </c>
      <c r="E34" t="s">
        <v>39</v>
      </c>
      <c r="F34" s="3">
        <v>50</v>
      </c>
      <c r="G34" s="4">
        <f t="shared" si="0"/>
        <v>3393</v>
      </c>
      <c r="H34" s="4"/>
      <c r="I34" s="4"/>
      <c r="J34" s="4"/>
    </row>
    <row r="35" spans="2:10" x14ac:dyDescent="0.25">
      <c r="B35" t="s">
        <v>0</v>
      </c>
      <c r="C35" t="s">
        <v>1</v>
      </c>
      <c r="D35" t="s">
        <v>2</v>
      </c>
      <c r="E35" t="s">
        <v>40</v>
      </c>
      <c r="F35" s="3">
        <v>20</v>
      </c>
      <c r="G35" s="4">
        <f t="shared" si="0"/>
        <v>3413</v>
      </c>
      <c r="H35" s="4"/>
      <c r="I35" s="4"/>
      <c r="J35" s="4"/>
    </row>
    <row r="36" spans="2:10" x14ac:dyDescent="0.25">
      <c r="B36" t="s">
        <v>0</v>
      </c>
      <c r="C36" t="s">
        <v>1</v>
      </c>
      <c r="D36" t="s">
        <v>2</v>
      </c>
      <c r="E36" t="s">
        <v>41</v>
      </c>
      <c r="F36" s="3">
        <v>28</v>
      </c>
      <c r="G36" s="4">
        <f t="shared" si="0"/>
        <v>3441</v>
      </c>
      <c r="H36" s="4"/>
      <c r="I36" s="4"/>
      <c r="J36" s="4"/>
    </row>
    <row r="37" spans="2:10" x14ac:dyDescent="0.25">
      <c r="B37" t="s">
        <v>0</v>
      </c>
      <c r="C37" t="s">
        <v>1</v>
      </c>
      <c r="D37" t="s">
        <v>2</v>
      </c>
      <c r="E37" t="s">
        <v>42</v>
      </c>
      <c r="F37" s="3">
        <v>20</v>
      </c>
      <c r="G37" s="4">
        <f t="shared" si="0"/>
        <v>3461</v>
      </c>
      <c r="H37" s="4"/>
      <c r="I37" s="4"/>
      <c r="J37" s="4"/>
    </row>
    <row r="38" spans="2:10" x14ac:dyDescent="0.25">
      <c r="B38" t="s">
        <v>0</v>
      </c>
      <c r="C38" t="s">
        <v>1</v>
      </c>
      <c r="D38" t="s">
        <v>2</v>
      </c>
      <c r="E38" t="s">
        <v>43</v>
      </c>
      <c r="F38" s="3">
        <v>318</v>
      </c>
      <c r="G38" s="4">
        <f t="shared" si="0"/>
        <v>3779</v>
      </c>
      <c r="H38" s="4"/>
      <c r="I38" s="4"/>
      <c r="J38" s="4"/>
    </row>
    <row r="39" spans="2:10" x14ac:dyDescent="0.25">
      <c r="B39" t="s">
        <v>0</v>
      </c>
      <c r="C39" t="s">
        <v>1</v>
      </c>
      <c r="D39" t="s">
        <v>2</v>
      </c>
      <c r="E39" t="s">
        <v>44</v>
      </c>
      <c r="F39" s="3">
        <v>161</v>
      </c>
      <c r="G39" s="4">
        <f t="shared" si="0"/>
        <v>3940</v>
      </c>
      <c r="H39" s="4"/>
      <c r="I39" s="4"/>
      <c r="J39" s="4"/>
    </row>
    <row r="40" spans="2:10" x14ac:dyDescent="0.25">
      <c r="B40" t="s">
        <v>0</v>
      </c>
      <c r="C40" t="s">
        <v>1</v>
      </c>
      <c r="D40" t="s">
        <v>45</v>
      </c>
      <c r="E40" t="s">
        <v>46</v>
      </c>
      <c r="F40" s="3">
        <v>148</v>
      </c>
      <c r="G40" s="4">
        <f t="shared" si="0"/>
        <v>4088</v>
      </c>
      <c r="H40" s="4"/>
      <c r="I40" s="4"/>
      <c r="J40" s="4"/>
    </row>
    <row r="41" spans="2:10" x14ac:dyDescent="0.25">
      <c r="B41" t="s">
        <v>0</v>
      </c>
      <c r="C41" t="s">
        <v>1</v>
      </c>
      <c r="D41" t="s">
        <v>45</v>
      </c>
      <c r="E41" t="s">
        <v>47</v>
      </c>
      <c r="F41" s="3">
        <v>29</v>
      </c>
      <c r="G41" s="4">
        <f t="shared" si="0"/>
        <v>4117</v>
      </c>
      <c r="H41" s="4"/>
      <c r="I41" s="4"/>
      <c r="J41" s="4"/>
    </row>
    <row r="42" spans="2:10" x14ac:dyDescent="0.25">
      <c r="B42" t="s">
        <v>0</v>
      </c>
      <c r="C42" t="s">
        <v>1</v>
      </c>
      <c r="D42" t="s">
        <v>45</v>
      </c>
      <c r="E42" t="s">
        <v>48</v>
      </c>
      <c r="F42" s="3">
        <v>57</v>
      </c>
      <c r="G42" s="4">
        <f t="shared" si="0"/>
        <v>4174</v>
      </c>
      <c r="H42" s="4"/>
      <c r="I42" s="4"/>
      <c r="J42" s="4"/>
    </row>
    <row r="43" spans="2:10" x14ac:dyDescent="0.25">
      <c r="B43" t="s">
        <v>0</v>
      </c>
      <c r="C43" t="s">
        <v>1</v>
      </c>
      <c r="D43" t="s">
        <v>45</v>
      </c>
      <c r="E43" t="s">
        <v>49</v>
      </c>
      <c r="F43" s="3">
        <v>123</v>
      </c>
      <c r="G43" s="4">
        <f t="shared" si="0"/>
        <v>4297</v>
      </c>
      <c r="H43" s="4"/>
      <c r="I43" s="4"/>
      <c r="J43" s="4"/>
    </row>
    <row r="44" spans="2:10" x14ac:dyDescent="0.25">
      <c r="B44" t="s">
        <v>0</v>
      </c>
      <c r="C44" t="s">
        <v>1</v>
      </c>
      <c r="D44" t="s">
        <v>45</v>
      </c>
      <c r="E44" t="s">
        <v>50</v>
      </c>
      <c r="F44" s="3">
        <v>94</v>
      </c>
      <c r="G44" s="4">
        <f t="shared" si="0"/>
        <v>4391</v>
      </c>
      <c r="H44" s="4"/>
      <c r="I44" s="4"/>
      <c r="J44" s="4"/>
    </row>
    <row r="45" spans="2:10" x14ac:dyDescent="0.25">
      <c r="B45" t="s">
        <v>0</v>
      </c>
      <c r="C45" t="s">
        <v>1</v>
      </c>
      <c r="D45" t="s">
        <v>45</v>
      </c>
      <c r="E45" t="s">
        <v>51</v>
      </c>
      <c r="F45" s="3">
        <v>47</v>
      </c>
      <c r="G45" s="4">
        <f t="shared" si="0"/>
        <v>4438</v>
      </c>
      <c r="H45" s="4"/>
      <c r="I45" s="4"/>
      <c r="J45" s="4"/>
    </row>
    <row r="46" spans="2:10" x14ac:dyDescent="0.25">
      <c r="B46" t="s">
        <v>0</v>
      </c>
      <c r="C46" t="s">
        <v>1</v>
      </c>
      <c r="D46" t="s">
        <v>45</v>
      </c>
      <c r="E46" t="s">
        <v>52</v>
      </c>
      <c r="F46" s="3">
        <v>201</v>
      </c>
      <c r="G46" s="4">
        <f t="shared" si="0"/>
        <v>4639</v>
      </c>
      <c r="H46" s="4"/>
      <c r="I46" s="4"/>
      <c r="J46" s="4"/>
    </row>
    <row r="47" spans="2:10" x14ac:dyDescent="0.25">
      <c r="B47" t="s">
        <v>0</v>
      </c>
      <c r="C47" t="s">
        <v>1</v>
      </c>
      <c r="D47" t="s">
        <v>45</v>
      </c>
      <c r="E47" t="s">
        <v>53</v>
      </c>
      <c r="F47" s="3">
        <v>68</v>
      </c>
      <c r="G47" s="4">
        <f t="shared" si="0"/>
        <v>4707</v>
      </c>
      <c r="H47" s="4"/>
      <c r="I47" s="4"/>
      <c r="J47" s="4"/>
    </row>
    <row r="48" spans="2:10" x14ac:dyDescent="0.25">
      <c r="B48" t="s">
        <v>0</v>
      </c>
      <c r="C48" t="s">
        <v>1</v>
      </c>
      <c r="D48" t="s">
        <v>45</v>
      </c>
      <c r="E48" t="s">
        <v>54</v>
      </c>
      <c r="F48" s="3">
        <v>263</v>
      </c>
      <c r="G48" s="4">
        <f t="shared" si="0"/>
        <v>4970</v>
      </c>
      <c r="H48" s="4"/>
      <c r="I48" s="4"/>
      <c r="J48" s="4"/>
    </row>
    <row r="49" spans="2:10" x14ac:dyDescent="0.25">
      <c r="B49" t="s">
        <v>0</v>
      </c>
      <c r="C49" t="s">
        <v>1</v>
      </c>
      <c r="D49" t="s">
        <v>45</v>
      </c>
      <c r="E49" t="s">
        <v>55</v>
      </c>
      <c r="F49" s="3">
        <v>107</v>
      </c>
      <c r="G49" s="4">
        <f t="shared" si="0"/>
        <v>5077</v>
      </c>
      <c r="H49" s="4"/>
      <c r="I49" s="4"/>
      <c r="J49" s="4"/>
    </row>
    <row r="50" spans="2:10" x14ac:dyDescent="0.25">
      <c r="B50" t="s">
        <v>0</v>
      </c>
      <c r="C50" t="s">
        <v>1</v>
      </c>
      <c r="D50" t="s">
        <v>45</v>
      </c>
      <c r="E50" t="s">
        <v>56</v>
      </c>
      <c r="F50" s="3">
        <v>30</v>
      </c>
      <c r="G50" s="4">
        <f t="shared" si="0"/>
        <v>5107</v>
      </c>
      <c r="H50" s="4"/>
      <c r="I50" s="4"/>
      <c r="J50" s="4"/>
    </row>
    <row r="51" spans="2:10" x14ac:dyDescent="0.25">
      <c r="B51" t="s">
        <v>0</v>
      </c>
      <c r="C51" t="s">
        <v>1</v>
      </c>
      <c r="D51" t="s">
        <v>45</v>
      </c>
      <c r="E51" t="s">
        <v>57</v>
      </c>
      <c r="F51" s="3">
        <v>109</v>
      </c>
      <c r="G51" s="4">
        <f t="shared" si="0"/>
        <v>5216</v>
      </c>
      <c r="H51" s="4"/>
      <c r="I51" s="4"/>
      <c r="J51" s="4"/>
    </row>
    <row r="52" spans="2:10" x14ac:dyDescent="0.25">
      <c r="B52" t="s">
        <v>0</v>
      </c>
      <c r="C52" t="s">
        <v>1</v>
      </c>
      <c r="D52" t="s">
        <v>45</v>
      </c>
      <c r="E52" t="s">
        <v>58</v>
      </c>
      <c r="F52" s="3">
        <v>120</v>
      </c>
      <c r="G52" s="4">
        <f t="shared" si="0"/>
        <v>5336</v>
      </c>
      <c r="H52" s="4"/>
      <c r="I52" s="4"/>
      <c r="J52" s="4"/>
    </row>
    <row r="53" spans="2:10" x14ac:dyDescent="0.25">
      <c r="B53" t="s">
        <v>0</v>
      </c>
      <c r="C53" t="s">
        <v>1</v>
      </c>
      <c r="D53" t="s">
        <v>45</v>
      </c>
      <c r="E53" t="s">
        <v>59</v>
      </c>
      <c r="F53" s="3">
        <v>378</v>
      </c>
      <c r="G53" s="4">
        <f t="shared" si="0"/>
        <v>5714</v>
      </c>
      <c r="H53" s="4"/>
      <c r="I53" s="4"/>
      <c r="J53" s="4"/>
    </row>
    <row r="54" spans="2:10" x14ac:dyDescent="0.25">
      <c r="B54" t="s">
        <v>0</v>
      </c>
      <c r="C54" t="s">
        <v>1</v>
      </c>
      <c r="D54" t="s">
        <v>45</v>
      </c>
      <c r="E54" t="s">
        <v>60</v>
      </c>
      <c r="F54" s="3">
        <v>282</v>
      </c>
      <c r="G54" s="4">
        <f t="shared" si="0"/>
        <v>5996</v>
      </c>
      <c r="H54" s="4"/>
      <c r="I54" s="4"/>
      <c r="J54" s="4"/>
    </row>
    <row r="55" spans="2:10" x14ac:dyDescent="0.25">
      <c r="B55" t="s">
        <v>0</v>
      </c>
      <c r="C55" t="s">
        <v>1</v>
      </c>
      <c r="D55" t="s">
        <v>45</v>
      </c>
      <c r="E55" t="s">
        <v>61</v>
      </c>
      <c r="F55" s="3">
        <v>335</v>
      </c>
      <c r="G55" s="4">
        <f t="shared" si="0"/>
        <v>6331</v>
      </c>
      <c r="H55" s="4"/>
      <c r="I55" s="4"/>
      <c r="J55" s="4"/>
    </row>
    <row r="56" spans="2:10" x14ac:dyDescent="0.25">
      <c r="B56" t="s">
        <v>0</v>
      </c>
      <c r="C56" t="s">
        <v>1</v>
      </c>
      <c r="D56" t="s">
        <v>45</v>
      </c>
      <c r="E56" t="s">
        <v>62</v>
      </c>
      <c r="F56" s="3">
        <v>42</v>
      </c>
      <c r="G56" s="4">
        <f t="shared" si="0"/>
        <v>6373</v>
      </c>
      <c r="H56" s="4"/>
      <c r="I56" s="4"/>
      <c r="J56" s="4"/>
    </row>
    <row r="57" spans="2:10" x14ac:dyDescent="0.25">
      <c r="B57" t="s">
        <v>0</v>
      </c>
      <c r="C57" t="s">
        <v>1</v>
      </c>
      <c r="D57" t="s">
        <v>45</v>
      </c>
      <c r="E57" t="s">
        <v>63</v>
      </c>
      <c r="F57" s="3">
        <v>91</v>
      </c>
      <c r="G57" s="4">
        <f t="shared" si="0"/>
        <v>6464</v>
      </c>
      <c r="H57" s="4"/>
      <c r="I57" s="4"/>
      <c r="J57" s="4"/>
    </row>
    <row r="58" spans="2:10" x14ac:dyDescent="0.25">
      <c r="B58" t="s">
        <v>0</v>
      </c>
      <c r="C58" t="s">
        <v>1</v>
      </c>
      <c r="D58" t="s">
        <v>45</v>
      </c>
      <c r="E58" t="s">
        <v>64</v>
      </c>
      <c r="F58" s="3">
        <v>64</v>
      </c>
      <c r="G58" s="4">
        <f t="shared" si="0"/>
        <v>6528</v>
      </c>
      <c r="H58" s="4"/>
      <c r="I58" s="4"/>
      <c r="J58" s="4"/>
    </row>
    <row r="59" spans="2:10" x14ac:dyDescent="0.25">
      <c r="B59" t="s">
        <v>0</v>
      </c>
      <c r="C59" t="s">
        <v>1</v>
      </c>
      <c r="D59" t="s">
        <v>45</v>
      </c>
      <c r="E59" t="s">
        <v>65</v>
      </c>
      <c r="F59" s="3">
        <v>214</v>
      </c>
      <c r="G59" s="4">
        <f t="shared" si="0"/>
        <v>6742</v>
      </c>
      <c r="H59" s="4"/>
      <c r="I59" s="4"/>
      <c r="J59" s="4"/>
    </row>
    <row r="60" spans="2:10" x14ac:dyDescent="0.25">
      <c r="B60" t="s">
        <v>0</v>
      </c>
      <c r="C60" t="s">
        <v>1</v>
      </c>
      <c r="D60" t="s">
        <v>45</v>
      </c>
      <c r="E60" t="s">
        <v>66</v>
      </c>
      <c r="F60" s="3">
        <v>156</v>
      </c>
      <c r="G60" s="4">
        <f t="shared" si="0"/>
        <v>6898</v>
      </c>
      <c r="H60" s="4"/>
      <c r="I60" s="4"/>
      <c r="J60" s="4"/>
    </row>
    <row r="61" spans="2:10" x14ac:dyDescent="0.25">
      <c r="B61" t="s">
        <v>0</v>
      </c>
      <c r="C61" t="s">
        <v>1</v>
      </c>
      <c r="D61" t="s">
        <v>45</v>
      </c>
      <c r="E61" t="s">
        <v>67</v>
      </c>
      <c r="F61" s="3">
        <v>42</v>
      </c>
      <c r="G61" s="4">
        <f t="shared" si="0"/>
        <v>6940</v>
      </c>
      <c r="H61" s="4"/>
      <c r="I61" s="4"/>
      <c r="J61" s="4"/>
    </row>
    <row r="62" spans="2:10" x14ac:dyDescent="0.25">
      <c r="B62" t="s">
        <v>0</v>
      </c>
      <c r="C62" t="s">
        <v>1</v>
      </c>
      <c r="D62" t="s">
        <v>45</v>
      </c>
      <c r="E62" t="s">
        <v>68</v>
      </c>
      <c r="F62" s="3">
        <v>131</v>
      </c>
      <c r="G62" s="4">
        <f t="shared" si="0"/>
        <v>7071</v>
      </c>
      <c r="H62" s="4"/>
      <c r="I62" s="4"/>
      <c r="J62" s="4"/>
    </row>
    <row r="63" spans="2:10" x14ac:dyDescent="0.25">
      <c r="B63" t="s">
        <v>0</v>
      </c>
      <c r="C63" t="s">
        <v>1</v>
      </c>
      <c r="D63" t="s">
        <v>45</v>
      </c>
      <c r="E63" t="s">
        <v>69</v>
      </c>
      <c r="F63" s="3">
        <v>445</v>
      </c>
      <c r="G63" s="4">
        <f t="shared" si="0"/>
        <v>7516</v>
      </c>
      <c r="H63" s="4"/>
      <c r="I63" s="4"/>
      <c r="J63" s="4"/>
    </row>
    <row r="64" spans="2:10" x14ac:dyDescent="0.25">
      <c r="B64" t="s">
        <v>0</v>
      </c>
      <c r="C64" t="s">
        <v>1</v>
      </c>
      <c r="D64" t="s">
        <v>45</v>
      </c>
      <c r="E64" t="s">
        <v>70</v>
      </c>
      <c r="F64" s="3">
        <v>166</v>
      </c>
      <c r="G64" s="4">
        <f t="shared" si="0"/>
        <v>7682</v>
      </c>
      <c r="H64" s="4"/>
      <c r="I64" s="4"/>
      <c r="J64" s="4"/>
    </row>
    <row r="65" spans="2:10" x14ac:dyDescent="0.25">
      <c r="B65" t="s">
        <v>0</v>
      </c>
      <c r="C65" t="s">
        <v>1</v>
      </c>
      <c r="D65" t="s">
        <v>45</v>
      </c>
      <c r="E65" t="s">
        <v>71</v>
      </c>
      <c r="F65" s="3">
        <v>57</v>
      </c>
      <c r="G65" s="4">
        <f t="shared" si="0"/>
        <v>7739</v>
      </c>
      <c r="H65" s="4"/>
      <c r="I65" s="4"/>
      <c r="J65" s="4"/>
    </row>
    <row r="66" spans="2:10" x14ac:dyDescent="0.25">
      <c r="B66" t="s">
        <v>0</v>
      </c>
      <c r="C66" t="s">
        <v>1</v>
      </c>
      <c r="D66" t="s">
        <v>45</v>
      </c>
      <c r="E66" t="s">
        <v>72</v>
      </c>
      <c r="F66" s="3">
        <v>5</v>
      </c>
      <c r="G66" s="4">
        <f t="shared" si="0"/>
        <v>7744</v>
      </c>
      <c r="H66" s="4"/>
      <c r="I66" s="4"/>
      <c r="J66" s="4"/>
    </row>
    <row r="67" spans="2:10" x14ac:dyDescent="0.25">
      <c r="B67" t="s">
        <v>0</v>
      </c>
      <c r="C67" t="s">
        <v>1</v>
      </c>
      <c r="D67" t="s">
        <v>45</v>
      </c>
      <c r="E67" t="s">
        <v>73</v>
      </c>
      <c r="F67" s="3">
        <v>29</v>
      </c>
      <c r="G67" s="4">
        <f t="shared" si="0"/>
        <v>7773</v>
      </c>
      <c r="H67" s="4"/>
      <c r="I67" s="4"/>
      <c r="J67" s="4"/>
    </row>
    <row r="68" spans="2:10" x14ac:dyDescent="0.25">
      <c r="B68" t="s">
        <v>0</v>
      </c>
      <c r="C68" t="s">
        <v>1</v>
      </c>
      <c r="D68" t="s">
        <v>45</v>
      </c>
      <c r="E68" t="s">
        <v>74</v>
      </c>
      <c r="F68" s="3">
        <v>214</v>
      </c>
      <c r="G68" s="4">
        <f t="shared" ref="G68:G131" si="5">G67+F68</f>
        <v>7987</v>
      </c>
      <c r="H68" s="4"/>
      <c r="I68" s="4"/>
      <c r="J68" s="4"/>
    </row>
    <row r="69" spans="2:10" x14ac:dyDescent="0.25">
      <c r="B69" t="s">
        <v>0</v>
      </c>
      <c r="C69" t="s">
        <v>1</v>
      </c>
      <c r="D69" t="s">
        <v>45</v>
      </c>
      <c r="E69" t="s">
        <v>75</v>
      </c>
      <c r="F69" s="3">
        <v>292</v>
      </c>
      <c r="G69" s="4">
        <f t="shared" si="5"/>
        <v>8279</v>
      </c>
      <c r="H69" s="4"/>
      <c r="I69" s="4"/>
      <c r="J69" s="4"/>
    </row>
    <row r="70" spans="2:10" x14ac:dyDescent="0.25">
      <c r="B70" t="s">
        <v>0</v>
      </c>
      <c r="C70" t="s">
        <v>1</v>
      </c>
      <c r="D70" t="s">
        <v>45</v>
      </c>
      <c r="E70" t="s">
        <v>76</v>
      </c>
      <c r="F70" s="3">
        <v>145</v>
      </c>
      <c r="G70" s="4">
        <f t="shared" si="5"/>
        <v>8424</v>
      </c>
      <c r="H70" s="4"/>
      <c r="I70" s="4"/>
      <c r="J70" s="4"/>
    </row>
    <row r="71" spans="2:10" x14ac:dyDescent="0.25">
      <c r="B71" t="s">
        <v>0</v>
      </c>
      <c r="C71" t="s">
        <v>1</v>
      </c>
      <c r="D71" t="s">
        <v>45</v>
      </c>
      <c r="E71" t="s">
        <v>77</v>
      </c>
      <c r="F71" s="3">
        <v>31</v>
      </c>
      <c r="G71" s="4">
        <f t="shared" si="5"/>
        <v>8455</v>
      </c>
      <c r="H71" s="4"/>
      <c r="I71" s="4"/>
      <c r="J71" s="4"/>
    </row>
    <row r="72" spans="2:10" x14ac:dyDescent="0.25">
      <c r="B72" t="s">
        <v>0</v>
      </c>
      <c r="C72" t="s">
        <v>1</v>
      </c>
      <c r="D72" t="s">
        <v>45</v>
      </c>
      <c r="E72" t="s">
        <v>78</v>
      </c>
      <c r="F72" s="3">
        <v>22</v>
      </c>
      <c r="G72" s="4">
        <f t="shared" si="5"/>
        <v>8477</v>
      </c>
      <c r="H72" s="4"/>
      <c r="I72" s="4"/>
      <c r="J72" s="4"/>
    </row>
    <row r="73" spans="2:10" x14ac:dyDescent="0.25">
      <c r="B73" t="s">
        <v>0</v>
      </c>
      <c r="C73" t="s">
        <v>1</v>
      </c>
      <c r="D73" t="s">
        <v>1</v>
      </c>
      <c r="E73" t="s">
        <v>79</v>
      </c>
      <c r="F73" s="3">
        <v>23</v>
      </c>
      <c r="G73" s="4">
        <f t="shared" si="5"/>
        <v>8500</v>
      </c>
      <c r="H73" s="4"/>
      <c r="I73" s="4"/>
      <c r="J73" s="4"/>
    </row>
    <row r="74" spans="2:10" x14ac:dyDescent="0.25">
      <c r="B74" t="s">
        <v>0</v>
      </c>
      <c r="C74" t="s">
        <v>1</v>
      </c>
      <c r="D74" t="s">
        <v>1</v>
      </c>
      <c r="E74" t="s">
        <v>80</v>
      </c>
      <c r="F74" s="3">
        <v>840</v>
      </c>
      <c r="G74" s="4">
        <f t="shared" si="5"/>
        <v>9340</v>
      </c>
      <c r="H74" s="4"/>
      <c r="I74" s="4"/>
      <c r="J74" s="4"/>
    </row>
    <row r="75" spans="2:10" x14ac:dyDescent="0.25">
      <c r="B75" t="s">
        <v>0</v>
      </c>
      <c r="C75" t="s">
        <v>1</v>
      </c>
      <c r="D75" t="s">
        <v>1</v>
      </c>
      <c r="E75" t="s">
        <v>81</v>
      </c>
      <c r="F75" s="3">
        <v>9</v>
      </c>
      <c r="G75" s="4">
        <f t="shared" si="5"/>
        <v>9349</v>
      </c>
      <c r="H75" s="4"/>
      <c r="I75" s="4"/>
      <c r="J75" s="4"/>
    </row>
    <row r="76" spans="2:10" x14ac:dyDescent="0.25">
      <c r="B76" t="s">
        <v>0</v>
      </c>
      <c r="C76" t="s">
        <v>1</v>
      </c>
      <c r="D76" t="s">
        <v>1</v>
      </c>
      <c r="E76" t="s">
        <v>82</v>
      </c>
      <c r="F76" s="3">
        <v>662</v>
      </c>
      <c r="G76" s="4">
        <f t="shared" si="5"/>
        <v>10011</v>
      </c>
      <c r="H76" s="4"/>
      <c r="I76" s="4"/>
      <c r="J76" s="4"/>
    </row>
    <row r="77" spans="2:10" x14ac:dyDescent="0.25">
      <c r="B77" t="s">
        <v>0</v>
      </c>
      <c r="C77" t="s">
        <v>1</v>
      </c>
      <c r="D77" t="s">
        <v>1</v>
      </c>
      <c r="E77" t="s">
        <v>83</v>
      </c>
      <c r="F77" s="3">
        <v>475</v>
      </c>
      <c r="G77" s="4">
        <f t="shared" si="5"/>
        <v>10486</v>
      </c>
      <c r="H77" s="4"/>
      <c r="I77" s="4"/>
      <c r="J77" s="4"/>
    </row>
    <row r="78" spans="2:10" x14ac:dyDescent="0.25">
      <c r="B78" t="s">
        <v>0</v>
      </c>
      <c r="C78" t="s">
        <v>1</v>
      </c>
      <c r="D78" t="s">
        <v>1</v>
      </c>
      <c r="E78" t="s">
        <v>84</v>
      </c>
      <c r="F78" s="3">
        <v>370</v>
      </c>
      <c r="G78" s="4">
        <f t="shared" si="5"/>
        <v>10856</v>
      </c>
      <c r="H78" s="4"/>
      <c r="I78" s="4"/>
      <c r="J78" s="4"/>
    </row>
    <row r="79" spans="2:10" x14ac:dyDescent="0.25">
      <c r="B79" t="s">
        <v>0</v>
      </c>
      <c r="C79" t="s">
        <v>1</v>
      </c>
      <c r="D79" t="s">
        <v>1</v>
      </c>
      <c r="E79" t="s">
        <v>85</v>
      </c>
      <c r="F79" s="3">
        <v>99</v>
      </c>
      <c r="G79" s="4">
        <f t="shared" si="5"/>
        <v>10955</v>
      </c>
      <c r="H79" s="4"/>
      <c r="I79" s="4"/>
      <c r="J79" s="4"/>
    </row>
    <row r="80" spans="2:10" x14ac:dyDescent="0.25">
      <c r="B80" t="s">
        <v>0</v>
      </c>
      <c r="C80" t="s">
        <v>1</v>
      </c>
      <c r="D80" t="s">
        <v>1</v>
      </c>
      <c r="E80" t="s">
        <v>86</v>
      </c>
      <c r="F80" s="3">
        <v>14</v>
      </c>
      <c r="G80" s="4">
        <f t="shared" si="5"/>
        <v>10969</v>
      </c>
      <c r="H80" s="4"/>
      <c r="I80" s="4"/>
      <c r="J80" s="4"/>
    </row>
    <row r="81" spans="2:10" x14ac:dyDescent="0.25">
      <c r="B81" t="s">
        <v>0</v>
      </c>
      <c r="C81" t="s">
        <v>1</v>
      </c>
      <c r="D81" t="s">
        <v>1</v>
      </c>
      <c r="E81" t="s">
        <v>87</v>
      </c>
      <c r="F81" s="3">
        <v>138</v>
      </c>
      <c r="G81" s="4">
        <f t="shared" si="5"/>
        <v>11107</v>
      </c>
      <c r="H81" s="4"/>
      <c r="I81" s="4"/>
      <c r="J81" s="4"/>
    </row>
    <row r="82" spans="2:10" x14ac:dyDescent="0.25">
      <c r="B82" t="s">
        <v>0</v>
      </c>
      <c r="C82" t="s">
        <v>1</v>
      </c>
      <c r="D82" t="s">
        <v>1</v>
      </c>
      <c r="E82" t="s">
        <v>88</v>
      </c>
      <c r="F82" s="3">
        <v>118</v>
      </c>
      <c r="G82" s="4">
        <f t="shared" si="5"/>
        <v>11225</v>
      </c>
      <c r="H82" s="4"/>
      <c r="I82" s="4"/>
      <c r="J82" s="4"/>
    </row>
    <row r="83" spans="2:10" x14ac:dyDescent="0.25">
      <c r="B83" t="s">
        <v>0</v>
      </c>
      <c r="C83" t="s">
        <v>1</v>
      </c>
      <c r="D83" t="s">
        <v>1</v>
      </c>
      <c r="E83" t="s">
        <v>89</v>
      </c>
      <c r="F83" s="3">
        <v>68</v>
      </c>
      <c r="G83" s="4">
        <f t="shared" si="5"/>
        <v>11293</v>
      </c>
      <c r="H83" s="4"/>
      <c r="I83" s="4"/>
      <c r="J83" s="4"/>
    </row>
    <row r="84" spans="2:10" x14ac:dyDescent="0.25">
      <c r="B84" t="s">
        <v>0</v>
      </c>
      <c r="C84" t="s">
        <v>1</v>
      </c>
      <c r="D84" t="s">
        <v>1</v>
      </c>
      <c r="E84" t="s">
        <v>90</v>
      </c>
      <c r="F84" s="3">
        <v>47</v>
      </c>
      <c r="G84" s="4">
        <f t="shared" si="5"/>
        <v>11340</v>
      </c>
      <c r="H84" s="4"/>
      <c r="I84" s="4"/>
      <c r="J84" s="4"/>
    </row>
    <row r="85" spans="2:10" x14ac:dyDescent="0.25">
      <c r="B85" t="s">
        <v>0</v>
      </c>
      <c r="C85" t="s">
        <v>1</v>
      </c>
      <c r="D85" t="s">
        <v>1</v>
      </c>
      <c r="E85" t="s">
        <v>91</v>
      </c>
      <c r="F85" s="3">
        <v>36</v>
      </c>
      <c r="G85" s="4">
        <f t="shared" si="5"/>
        <v>11376</v>
      </c>
      <c r="H85" s="4"/>
      <c r="I85" s="4"/>
      <c r="J85" s="4"/>
    </row>
    <row r="86" spans="2:10" x14ac:dyDescent="0.25">
      <c r="B86" t="s">
        <v>0</v>
      </c>
      <c r="C86" t="s">
        <v>1</v>
      </c>
      <c r="D86" t="s">
        <v>1</v>
      </c>
      <c r="E86" t="s">
        <v>92</v>
      </c>
      <c r="F86" s="3">
        <v>139</v>
      </c>
      <c r="G86" s="4">
        <f t="shared" si="5"/>
        <v>11515</v>
      </c>
      <c r="H86" s="4"/>
      <c r="I86" s="4"/>
      <c r="J86" s="4"/>
    </row>
    <row r="87" spans="2:10" x14ac:dyDescent="0.25">
      <c r="B87" t="s">
        <v>0</v>
      </c>
      <c r="C87" t="s">
        <v>1</v>
      </c>
      <c r="D87" t="s">
        <v>1</v>
      </c>
      <c r="E87" t="s">
        <v>93</v>
      </c>
      <c r="F87" s="3">
        <v>142</v>
      </c>
      <c r="G87" s="4">
        <f t="shared" si="5"/>
        <v>11657</v>
      </c>
      <c r="H87" s="4"/>
      <c r="I87" s="4"/>
      <c r="J87" s="4"/>
    </row>
    <row r="88" spans="2:10" x14ac:dyDescent="0.25">
      <c r="B88" t="s">
        <v>0</v>
      </c>
      <c r="C88" t="s">
        <v>1</v>
      </c>
      <c r="D88" t="s">
        <v>1</v>
      </c>
      <c r="E88" t="s">
        <v>94</v>
      </c>
      <c r="F88" s="3">
        <v>678</v>
      </c>
      <c r="G88" s="4">
        <f t="shared" si="5"/>
        <v>12335</v>
      </c>
      <c r="H88" s="4"/>
      <c r="I88" s="4"/>
      <c r="J88" s="4"/>
    </row>
    <row r="89" spans="2:10" x14ac:dyDescent="0.25">
      <c r="B89" t="s">
        <v>0</v>
      </c>
      <c r="C89" t="s">
        <v>1</v>
      </c>
      <c r="D89" t="s">
        <v>1</v>
      </c>
      <c r="E89" t="s">
        <v>95</v>
      </c>
      <c r="F89" s="3">
        <v>108</v>
      </c>
      <c r="G89" s="4">
        <f t="shared" si="5"/>
        <v>12443</v>
      </c>
      <c r="H89" s="4"/>
      <c r="I89" s="4"/>
      <c r="J89" s="4"/>
    </row>
    <row r="90" spans="2:10" x14ac:dyDescent="0.25">
      <c r="B90" t="s">
        <v>0</v>
      </c>
      <c r="C90" t="s">
        <v>1</v>
      </c>
      <c r="D90" t="s">
        <v>1</v>
      </c>
      <c r="E90" t="s">
        <v>96</v>
      </c>
      <c r="F90" s="3">
        <v>256</v>
      </c>
      <c r="G90" s="4">
        <f t="shared" si="5"/>
        <v>12699</v>
      </c>
      <c r="H90" s="4"/>
      <c r="I90" s="4"/>
      <c r="J90" s="4"/>
    </row>
    <row r="91" spans="2:10" x14ac:dyDescent="0.25">
      <c r="B91" t="s">
        <v>0</v>
      </c>
      <c r="C91" t="s">
        <v>1</v>
      </c>
      <c r="D91" t="s">
        <v>1</v>
      </c>
      <c r="E91" t="s">
        <v>97</v>
      </c>
      <c r="F91" s="3">
        <v>330</v>
      </c>
      <c r="G91" s="4">
        <f t="shared" si="5"/>
        <v>13029</v>
      </c>
      <c r="H91" s="4"/>
      <c r="I91" s="4"/>
      <c r="J91" s="4"/>
    </row>
    <row r="92" spans="2:10" x14ac:dyDescent="0.25">
      <c r="B92" t="s">
        <v>0</v>
      </c>
      <c r="C92" t="s">
        <v>1</v>
      </c>
      <c r="D92" t="s">
        <v>1</v>
      </c>
      <c r="E92" t="s">
        <v>98</v>
      </c>
      <c r="F92" s="3">
        <v>10</v>
      </c>
      <c r="G92" s="4">
        <f t="shared" si="5"/>
        <v>13039</v>
      </c>
      <c r="H92" s="4"/>
      <c r="I92" s="4"/>
      <c r="J92" s="4"/>
    </row>
    <row r="93" spans="2:10" x14ac:dyDescent="0.25">
      <c r="B93" t="s">
        <v>0</v>
      </c>
      <c r="C93" t="s">
        <v>1</v>
      </c>
      <c r="D93" t="s">
        <v>1</v>
      </c>
      <c r="E93" t="s">
        <v>99</v>
      </c>
      <c r="F93" s="3">
        <v>187</v>
      </c>
      <c r="G93" s="4">
        <f t="shared" si="5"/>
        <v>13226</v>
      </c>
      <c r="H93" s="4"/>
      <c r="I93" s="4"/>
      <c r="J93" s="4"/>
    </row>
    <row r="94" spans="2:10" x14ac:dyDescent="0.25">
      <c r="B94" t="s">
        <v>0</v>
      </c>
      <c r="C94" t="s">
        <v>1</v>
      </c>
      <c r="D94" t="s">
        <v>1</v>
      </c>
      <c r="E94" t="s">
        <v>100</v>
      </c>
      <c r="F94" s="3">
        <v>51</v>
      </c>
      <c r="G94" s="4">
        <f t="shared" si="5"/>
        <v>13277</v>
      </c>
      <c r="H94" s="4"/>
      <c r="I94" s="4"/>
      <c r="J94" s="4"/>
    </row>
    <row r="95" spans="2:10" x14ac:dyDescent="0.25">
      <c r="B95" t="s">
        <v>0</v>
      </c>
      <c r="C95" t="s">
        <v>1</v>
      </c>
      <c r="D95" t="s">
        <v>1</v>
      </c>
      <c r="E95" t="s">
        <v>101</v>
      </c>
      <c r="F95" s="3">
        <v>17</v>
      </c>
      <c r="G95" s="4">
        <f t="shared" si="5"/>
        <v>13294</v>
      </c>
      <c r="H95" s="4"/>
      <c r="I95" s="4"/>
      <c r="J95" s="4"/>
    </row>
    <row r="96" spans="2:10" x14ac:dyDescent="0.25">
      <c r="B96" t="s">
        <v>0</v>
      </c>
      <c r="C96" t="s">
        <v>1</v>
      </c>
      <c r="D96" t="s">
        <v>1</v>
      </c>
      <c r="E96" t="s">
        <v>102</v>
      </c>
      <c r="F96" s="3">
        <v>130</v>
      </c>
      <c r="G96" s="4">
        <f t="shared" si="5"/>
        <v>13424</v>
      </c>
      <c r="H96" s="4"/>
      <c r="I96" s="4"/>
      <c r="J96" s="4"/>
    </row>
    <row r="97" spans="2:10" x14ac:dyDescent="0.25">
      <c r="B97" t="s">
        <v>0</v>
      </c>
      <c r="C97" t="s">
        <v>1</v>
      </c>
      <c r="D97" t="s">
        <v>1</v>
      </c>
      <c r="E97" t="s">
        <v>103</v>
      </c>
      <c r="F97" s="3">
        <v>225</v>
      </c>
      <c r="G97" s="4">
        <f t="shared" si="5"/>
        <v>13649</v>
      </c>
      <c r="H97" s="4"/>
      <c r="I97" s="4"/>
      <c r="J97" s="4"/>
    </row>
    <row r="98" spans="2:10" x14ac:dyDescent="0.25">
      <c r="B98" t="s">
        <v>0</v>
      </c>
      <c r="C98" t="s">
        <v>1</v>
      </c>
      <c r="D98" t="s">
        <v>1</v>
      </c>
      <c r="E98" t="s">
        <v>104</v>
      </c>
      <c r="F98" s="3">
        <v>111</v>
      </c>
      <c r="G98" s="4">
        <f t="shared" si="5"/>
        <v>13760</v>
      </c>
      <c r="H98" s="4"/>
      <c r="I98" s="4"/>
      <c r="J98" s="4"/>
    </row>
    <row r="99" spans="2:10" x14ac:dyDescent="0.25">
      <c r="B99" t="s">
        <v>0</v>
      </c>
      <c r="C99" t="s">
        <v>1</v>
      </c>
      <c r="D99" t="s">
        <v>1</v>
      </c>
      <c r="E99" t="s">
        <v>105</v>
      </c>
      <c r="F99" s="3">
        <v>56</v>
      </c>
      <c r="G99" s="4">
        <f t="shared" si="5"/>
        <v>13816</v>
      </c>
      <c r="H99" s="4"/>
      <c r="I99" s="4"/>
      <c r="J99" s="4"/>
    </row>
    <row r="100" spans="2:10" x14ac:dyDescent="0.25">
      <c r="B100" t="s">
        <v>0</v>
      </c>
      <c r="C100" t="s">
        <v>1</v>
      </c>
      <c r="D100" t="s">
        <v>1</v>
      </c>
      <c r="E100" t="s">
        <v>106</v>
      </c>
      <c r="F100" s="3">
        <v>52</v>
      </c>
      <c r="G100" s="4">
        <f t="shared" si="5"/>
        <v>13868</v>
      </c>
      <c r="H100" s="4"/>
      <c r="I100" s="4"/>
      <c r="J100" s="4"/>
    </row>
    <row r="101" spans="2:10" x14ac:dyDescent="0.25">
      <c r="B101" t="s">
        <v>0</v>
      </c>
      <c r="C101" t="s">
        <v>1</v>
      </c>
      <c r="D101" t="s">
        <v>1</v>
      </c>
      <c r="E101" t="s">
        <v>107</v>
      </c>
      <c r="F101" s="3">
        <v>159</v>
      </c>
      <c r="G101" s="4">
        <f t="shared" si="5"/>
        <v>14027</v>
      </c>
      <c r="H101" s="4"/>
      <c r="I101" s="4"/>
      <c r="J101" s="4"/>
    </row>
    <row r="102" spans="2:10" x14ac:dyDescent="0.25">
      <c r="B102" t="s">
        <v>0</v>
      </c>
      <c r="C102" t="s">
        <v>1</v>
      </c>
      <c r="D102" t="s">
        <v>1</v>
      </c>
      <c r="E102" t="s">
        <v>108</v>
      </c>
      <c r="F102" s="3">
        <v>170</v>
      </c>
      <c r="G102" s="4">
        <f t="shared" si="5"/>
        <v>14197</v>
      </c>
      <c r="H102" s="4"/>
      <c r="I102" s="4"/>
      <c r="J102" s="4"/>
    </row>
    <row r="103" spans="2:10" x14ac:dyDescent="0.25">
      <c r="B103" t="s">
        <v>0</v>
      </c>
      <c r="C103" t="s">
        <v>1</v>
      </c>
      <c r="D103" t="s">
        <v>1</v>
      </c>
      <c r="E103" t="s">
        <v>109</v>
      </c>
      <c r="F103" s="3">
        <v>163</v>
      </c>
      <c r="G103" s="4">
        <f t="shared" si="5"/>
        <v>14360</v>
      </c>
      <c r="H103" s="4"/>
      <c r="I103" s="4"/>
      <c r="J103" s="4"/>
    </row>
    <row r="104" spans="2:10" x14ac:dyDescent="0.25">
      <c r="B104" t="s">
        <v>0</v>
      </c>
      <c r="C104" t="s">
        <v>1</v>
      </c>
      <c r="D104" t="s">
        <v>1</v>
      </c>
      <c r="E104" t="s">
        <v>110</v>
      </c>
      <c r="F104" s="3">
        <v>322</v>
      </c>
      <c r="G104" s="4">
        <f t="shared" si="5"/>
        <v>14682</v>
      </c>
      <c r="H104" s="4"/>
      <c r="I104" s="4"/>
      <c r="J104" s="4"/>
    </row>
    <row r="105" spans="2:10" x14ac:dyDescent="0.25">
      <c r="B105" t="s">
        <v>0</v>
      </c>
      <c r="C105" t="s">
        <v>1</v>
      </c>
      <c r="D105" t="s">
        <v>1</v>
      </c>
      <c r="E105" t="s">
        <v>111</v>
      </c>
      <c r="F105" s="3">
        <v>433</v>
      </c>
      <c r="G105" s="4">
        <f t="shared" si="5"/>
        <v>15115</v>
      </c>
      <c r="H105" s="4"/>
      <c r="I105" s="4"/>
      <c r="J105" s="4"/>
    </row>
    <row r="106" spans="2:10" x14ac:dyDescent="0.25">
      <c r="B106" t="s">
        <v>0</v>
      </c>
      <c r="C106" t="s">
        <v>1</v>
      </c>
      <c r="D106" t="s">
        <v>1</v>
      </c>
      <c r="E106" t="s">
        <v>112</v>
      </c>
      <c r="F106" s="3">
        <v>312</v>
      </c>
      <c r="G106" s="4">
        <f t="shared" si="5"/>
        <v>15427</v>
      </c>
      <c r="H106" s="4"/>
      <c r="I106" s="4"/>
      <c r="J106" s="4"/>
    </row>
    <row r="107" spans="2:10" x14ac:dyDescent="0.25">
      <c r="B107" t="s">
        <v>0</v>
      </c>
      <c r="C107" t="s">
        <v>1</v>
      </c>
      <c r="D107" t="s">
        <v>1</v>
      </c>
      <c r="E107" t="s">
        <v>113</v>
      </c>
      <c r="F107" s="3">
        <v>127</v>
      </c>
      <c r="G107" s="4">
        <f t="shared" si="5"/>
        <v>15554</v>
      </c>
      <c r="H107" s="4"/>
      <c r="I107" s="4"/>
      <c r="J107" s="4"/>
    </row>
    <row r="108" spans="2:10" x14ac:dyDescent="0.25">
      <c r="B108" t="s">
        <v>0</v>
      </c>
      <c r="C108" t="s">
        <v>1</v>
      </c>
      <c r="D108" t="s">
        <v>1</v>
      </c>
      <c r="E108" t="s">
        <v>114</v>
      </c>
      <c r="F108" s="3">
        <v>104</v>
      </c>
      <c r="G108" s="4">
        <f t="shared" si="5"/>
        <v>15658</v>
      </c>
      <c r="H108" s="4"/>
      <c r="I108" s="4"/>
      <c r="J108" s="4"/>
    </row>
    <row r="109" spans="2:10" x14ac:dyDescent="0.25">
      <c r="B109" t="s">
        <v>0</v>
      </c>
      <c r="C109" t="s">
        <v>1</v>
      </c>
      <c r="D109" t="s">
        <v>1</v>
      </c>
      <c r="E109" t="s">
        <v>115</v>
      </c>
      <c r="F109" s="3">
        <v>578</v>
      </c>
      <c r="G109" s="4">
        <f t="shared" si="5"/>
        <v>16236</v>
      </c>
      <c r="H109" s="4"/>
      <c r="I109" s="4"/>
      <c r="J109" s="4"/>
    </row>
    <row r="110" spans="2:10" x14ac:dyDescent="0.25">
      <c r="B110" t="s">
        <v>0</v>
      </c>
      <c r="C110" t="s">
        <v>1</v>
      </c>
      <c r="D110" t="s">
        <v>1</v>
      </c>
      <c r="E110" t="s">
        <v>116</v>
      </c>
      <c r="F110" s="3">
        <v>475</v>
      </c>
      <c r="G110" s="4">
        <f t="shared" si="5"/>
        <v>16711</v>
      </c>
      <c r="H110" s="4"/>
      <c r="I110" s="4"/>
      <c r="J110" s="4"/>
    </row>
    <row r="111" spans="2:10" x14ac:dyDescent="0.25">
      <c r="B111" t="s">
        <v>0</v>
      </c>
      <c r="C111" t="s">
        <v>1</v>
      </c>
      <c r="D111" t="s">
        <v>1</v>
      </c>
      <c r="E111" t="s">
        <v>117</v>
      </c>
      <c r="F111" s="3">
        <v>128</v>
      </c>
      <c r="G111" s="4">
        <f t="shared" si="5"/>
        <v>16839</v>
      </c>
      <c r="H111" s="4"/>
      <c r="I111" s="4"/>
      <c r="J111" s="4"/>
    </row>
    <row r="112" spans="2:10" x14ac:dyDescent="0.25">
      <c r="B112" t="s">
        <v>0</v>
      </c>
      <c r="C112" t="s">
        <v>1</v>
      </c>
      <c r="D112" t="s">
        <v>1</v>
      </c>
      <c r="E112" t="s">
        <v>118</v>
      </c>
      <c r="F112" s="3">
        <v>454</v>
      </c>
      <c r="G112" s="4">
        <f t="shared" si="5"/>
        <v>17293</v>
      </c>
      <c r="H112" s="4"/>
      <c r="I112" s="4"/>
      <c r="J112" s="4"/>
    </row>
    <row r="113" spans="2:10" x14ac:dyDescent="0.25">
      <c r="B113" t="s">
        <v>0</v>
      </c>
      <c r="C113" t="s">
        <v>1</v>
      </c>
      <c r="D113" t="s">
        <v>1</v>
      </c>
      <c r="E113" t="s">
        <v>119</v>
      </c>
      <c r="F113" s="3">
        <v>459</v>
      </c>
      <c r="G113" s="4">
        <f t="shared" si="5"/>
        <v>17752</v>
      </c>
      <c r="H113" s="4"/>
      <c r="I113" s="4"/>
      <c r="J113" s="4"/>
    </row>
    <row r="114" spans="2:10" x14ac:dyDescent="0.25">
      <c r="B114" t="s">
        <v>0</v>
      </c>
      <c r="C114" t="s">
        <v>1</v>
      </c>
      <c r="D114" t="s">
        <v>1</v>
      </c>
      <c r="E114" t="s">
        <v>120</v>
      </c>
      <c r="F114" s="3">
        <v>87</v>
      </c>
      <c r="G114" s="4">
        <f t="shared" si="5"/>
        <v>17839</v>
      </c>
      <c r="H114" s="4"/>
      <c r="I114" s="4"/>
      <c r="J114" s="4"/>
    </row>
    <row r="115" spans="2:10" x14ac:dyDescent="0.25">
      <c r="B115" t="s">
        <v>0</v>
      </c>
      <c r="C115" t="s">
        <v>1</v>
      </c>
      <c r="D115" t="s">
        <v>1</v>
      </c>
      <c r="E115" t="s">
        <v>121</v>
      </c>
      <c r="F115" s="3">
        <v>48</v>
      </c>
      <c r="G115" s="4">
        <f t="shared" si="5"/>
        <v>17887</v>
      </c>
      <c r="H115" s="4"/>
      <c r="I115" s="4"/>
      <c r="J115" s="4"/>
    </row>
    <row r="116" spans="2:10" x14ac:dyDescent="0.25">
      <c r="B116" t="s">
        <v>0</v>
      </c>
      <c r="C116" t="s">
        <v>1</v>
      </c>
      <c r="D116" t="s">
        <v>1</v>
      </c>
      <c r="E116" t="s">
        <v>122</v>
      </c>
      <c r="F116" s="3">
        <v>21</v>
      </c>
      <c r="G116" s="4">
        <f t="shared" si="5"/>
        <v>17908</v>
      </c>
      <c r="H116" s="4"/>
      <c r="I116" s="4"/>
      <c r="J116" s="4"/>
    </row>
    <row r="117" spans="2:10" x14ac:dyDescent="0.25">
      <c r="B117" t="s">
        <v>0</v>
      </c>
      <c r="C117" t="s">
        <v>1</v>
      </c>
      <c r="D117" t="s">
        <v>1</v>
      </c>
      <c r="E117" t="s">
        <v>123</v>
      </c>
      <c r="F117" s="3">
        <v>88</v>
      </c>
      <c r="G117" s="4">
        <f t="shared" si="5"/>
        <v>17996</v>
      </c>
      <c r="H117" s="4"/>
      <c r="I117" s="4"/>
      <c r="J117" s="4"/>
    </row>
    <row r="118" spans="2:10" x14ac:dyDescent="0.25">
      <c r="B118" t="s">
        <v>0</v>
      </c>
      <c r="C118" t="s">
        <v>1</v>
      </c>
      <c r="D118" t="s">
        <v>1</v>
      </c>
      <c r="E118" t="s">
        <v>124</v>
      </c>
      <c r="F118" s="3">
        <v>14</v>
      </c>
      <c r="G118" s="4">
        <f t="shared" si="5"/>
        <v>18010</v>
      </c>
      <c r="H118" s="4"/>
      <c r="I118" s="4"/>
      <c r="J118" s="4"/>
    </row>
    <row r="119" spans="2:10" x14ac:dyDescent="0.25">
      <c r="B119" t="s">
        <v>0</v>
      </c>
      <c r="C119" t="s">
        <v>1</v>
      </c>
      <c r="D119" t="s">
        <v>1</v>
      </c>
      <c r="E119" t="s">
        <v>125</v>
      </c>
      <c r="F119" s="3">
        <v>59</v>
      </c>
      <c r="G119" s="4">
        <f t="shared" si="5"/>
        <v>18069</v>
      </c>
      <c r="H119" s="4"/>
      <c r="I119" s="4"/>
      <c r="J119" s="4"/>
    </row>
    <row r="120" spans="2:10" x14ac:dyDescent="0.25">
      <c r="B120" t="s">
        <v>0</v>
      </c>
      <c r="C120" t="s">
        <v>1</v>
      </c>
      <c r="D120" t="s">
        <v>1</v>
      </c>
      <c r="E120" t="s">
        <v>126</v>
      </c>
      <c r="F120" s="3">
        <v>102</v>
      </c>
      <c r="G120" s="4">
        <f t="shared" si="5"/>
        <v>18171</v>
      </c>
      <c r="H120" s="4"/>
      <c r="I120" s="4"/>
      <c r="J120" s="4"/>
    </row>
    <row r="121" spans="2:10" x14ac:dyDescent="0.25">
      <c r="B121" t="s">
        <v>0</v>
      </c>
      <c r="C121" t="s">
        <v>1</v>
      </c>
      <c r="D121" t="s">
        <v>1</v>
      </c>
      <c r="E121" t="s">
        <v>127</v>
      </c>
      <c r="F121" s="3">
        <v>208</v>
      </c>
      <c r="G121" s="4">
        <f t="shared" si="5"/>
        <v>18379</v>
      </c>
      <c r="H121" s="4"/>
      <c r="I121" s="4"/>
      <c r="J121" s="4"/>
    </row>
    <row r="122" spans="2:10" x14ac:dyDescent="0.25">
      <c r="B122" t="s">
        <v>0</v>
      </c>
      <c r="C122" t="s">
        <v>1</v>
      </c>
      <c r="D122" t="s">
        <v>1</v>
      </c>
      <c r="E122" t="s">
        <v>128</v>
      </c>
      <c r="F122" s="3">
        <v>253</v>
      </c>
      <c r="G122" s="4">
        <f t="shared" si="5"/>
        <v>18632</v>
      </c>
      <c r="H122" s="4"/>
      <c r="I122" s="4"/>
      <c r="J122" s="4"/>
    </row>
    <row r="123" spans="2:10" x14ac:dyDescent="0.25">
      <c r="B123" t="s">
        <v>0</v>
      </c>
      <c r="C123" t="s">
        <v>1</v>
      </c>
      <c r="D123" t="s">
        <v>1</v>
      </c>
      <c r="E123" t="s">
        <v>129</v>
      </c>
      <c r="F123" s="3">
        <v>99</v>
      </c>
      <c r="G123" s="4">
        <f t="shared" si="5"/>
        <v>18731</v>
      </c>
      <c r="H123" s="4"/>
      <c r="I123" s="4"/>
      <c r="J123" s="4"/>
    </row>
    <row r="124" spans="2:10" x14ac:dyDescent="0.25">
      <c r="B124" t="s">
        <v>0</v>
      </c>
      <c r="C124" t="s">
        <v>1</v>
      </c>
      <c r="D124" t="s">
        <v>1</v>
      </c>
      <c r="E124" t="s">
        <v>130</v>
      </c>
      <c r="F124" s="3">
        <v>192</v>
      </c>
      <c r="G124" s="4">
        <f t="shared" si="5"/>
        <v>18923</v>
      </c>
      <c r="H124" s="4"/>
      <c r="I124" s="4"/>
      <c r="J124" s="4"/>
    </row>
    <row r="125" spans="2:10" x14ac:dyDescent="0.25">
      <c r="B125" t="s">
        <v>0</v>
      </c>
      <c r="C125" t="s">
        <v>1</v>
      </c>
      <c r="D125" t="s">
        <v>1</v>
      </c>
      <c r="E125" t="s">
        <v>131</v>
      </c>
      <c r="F125" s="3">
        <v>183</v>
      </c>
      <c r="G125" s="4">
        <f t="shared" si="5"/>
        <v>19106</v>
      </c>
      <c r="H125" s="4"/>
      <c r="I125" s="4"/>
      <c r="J125" s="4"/>
    </row>
    <row r="126" spans="2:10" x14ac:dyDescent="0.25">
      <c r="B126" t="s">
        <v>0</v>
      </c>
      <c r="C126" t="s">
        <v>1</v>
      </c>
      <c r="D126" t="s">
        <v>1</v>
      </c>
      <c r="E126" t="s">
        <v>132</v>
      </c>
      <c r="F126" s="3">
        <v>84</v>
      </c>
      <c r="G126" s="4">
        <f t="shared" si="5"/>
        <v>19190</v>
      </c>
      <c r="H126" s="4"/>
      <c r="I126" s="4"/>
      <c r="J126" s="4"/>
    </row>
    <row r="127" spans="2:10" x14ac:dyDescent="0.25">
      <c r="B127" t="s">
        <v>0</v>
      </c>
      <c r="C127" t="s">
        <v>1</v>
      </c>
      <c r="D127" t="s">
        <v>1</v>
      </c>
      <c r="E127" t="s">
        <v>133</v>
      </c>
      <c r="F127" s="3">
        <v>349</v>
      </c>
      <c r="G127" s="4">
        <f t="shared" si="5"/>
        <v>19539</v>
      </c>
      <c r="H127" s="4"/>
      <c r="I127" s="4"/>
      <c r="J127" s="4"/>
    </row>
    <row r="128" spans="2:10" x14ac:dyDescent="0.25">
      <c r="B128" t="s">
        <v>0</v>
      </c>
      <c r="C128" t="s">
        <v>1</v>
      </c>
      <c r="D128" t="s">
        <v>1</v>
      </c>
      <c r="E128" t="s">
        <v>134</v>
      </c>
      <c r="F128" s="3">
        <v>188</v>
      </c>
      <c r="G128" s="4">
        <f t="shared" si="5"/>
        <v>19727</v>
      </c>
      <c r="H128" s="4"/>
      <c r="I128" s="4"/>
      <c r="J128" s="4"/>
    </row>
    <row r="129" spans="2:10" x14ac:dyDescent="0.25">
      <c r="B129" t="s">
        <v>0</v>
      </c>
      <c r="C129" t="s">
        <v>1</v>
      </c>
      <c r="D129" t="s">
        <v>1</v>
      </c>
      <c r="E129" t="s">
        <v>135</v>
      </c>
      <c r="F129" s="3">
        <v>47</v>
      </c>
      <c r="G129" s="4">
        <f t="shared" si="5"/>
        <v>19774</v>
      </c>
      <c r="H129" s="4"/>
      <c r="I129" s="4"/>
      <c r="J129" s="4"/>
    </row>
    <row r="130" spans="2:10" x14ac:dyDescent="0.25">
      <c r="B130" t="s">
        <v>0</v>
      </c>
      <c r="C130" t="s">
        <v>1</v>
      </c>
      <c r="D130" t="s">
        <v>1</v>
      </c>
      <c r="E130" t="s">
        <v>136</v>
      </c>
      <c r="F130" s="3">
        <v>80</v>
      </c>
      <c r="G130" s="4">
        <f t="shared" si="5"/>
        <v>19854</v>
      </c>
      <c r="H130" s="4"/>
      <c r="I130" s="4"/>
      <c r="J130" s="4"/>
    </row>
    <row r="131" spans="2:10" x14ac:dyDescent="0.25">
      <c r="B131" t="s">
        <v>0</v>
      </c>
      <c r="C131" t="s">
        <v>1</v>
      </c>
      <c r="D131" t="s">
        <v>1</v>
      </c>
      <c r="E131" t="s">
        <v>137</v>
      </c>
      <c r="F131" s="3">
        <v>268</v>
      </c>
      <c r="G131" s="4">
        <f t="shared" si="5"/>
        <v>20122</v>
      </c>
      <c r="H131" s="4"/>
      <c r="I131" s="4"/>
      <c r="J131" s="4"/>
    </row>
    <row r="132" spans="2:10" x14ac:dyDescent="0.25">
      <c r="B132" t="s">
        <v>0</v>
      </c>
      <c r="C132" t="s">
        <v>1</v>
      </c>
      <c r="D132" t="s">
        <v>1</v>
      </c>
      <c r="E132" t="s">
        <v>138</v>
      </c>
      <c r="F132" s="3">
        <v>177</v>
      </c>
      <c r="G132" s="4">
        <f t="shared" ref="G132:G195" si="6">G131+F132</f>
        <v>20299</v>
      </c>
      <c r="H132" s="4"/>
      <c r="I132" s="4"/>
      <c r="J132" s="4"/>
    </row>
    <row r="133" spans="2:10" x14ac:dyDescent="0.25">
      <c r="B133" t="s">
        <v>0</v>
      </c>
      <c r="C133" t="s">
        <v>1</v>
      </c>
      <c r="D133" t="s">
        <v>1</v>
      </c>
      <c r="E133" t="s">
        <v>139</v>
      </c>
      <c r="F133" s="3">
        <v>243</v>
      </c>
      <c r="G133" s="4">
        <f t="shared" si="6"/>
        <v>20542</v>
      </c>
      <c r="H133" s="4"/>
      <c r="I133" s="4"/>
      <c r="J133" s="4"/>
    </row>
    <row r="134" spans="2:10" x14ac:dyDescent="0.25">
      <c r="B134" t="s">
        <v>0</v>
      </c>
      <c r="C134" t="s">
        <v>1</v>
      </c>
      <c r="D134" t="s">
        <v>1</v>
      </c>
      <c r="E134" t="s">
        <v>140</v>
      </c>
      <c r="F134" s="3">
        <v>14</v>
      </c>
      <c r="G134" s="4">
        <f t="shared" si="6"/>
        <v>20556</v>
      </c>
      <c r="H134" s="4"/>
      <c r="I134" s="4"/>
      <c r="J134" s="4"/>
    </row>
    <row r="135" spans="2:10" x14ac:dyDescent="0.25">
      <c r="B135" t="s">
        <v>0</v>
      </c>
      <c r="C135" t="s">
        <v>1</v>
      </c>
      <c r="D135" t="s">
        <v>1</v>
      </c>
      <c r="E135" t="s">
        <v>141</v>
      </c>
      <c r="F135" s="3">
        <v>147</v>
      </c>
      <c r="G135" s="4">
        <f t="shared" si="6"/>
        <v>20703</v>
      </c>
      <c r="H135" s="4"/>
      <c r="I135" s="4"/>
      <c r="J135" s="4"/>
    </row>
    <row r="136" spans="2:10" x14ac:dyDescent="0.25">
      <c r="B136" t="s">
        <v>0</v>
      </c>
      <c r="C136" t="s">
        <v>1</v>
      </c>
      <c r="D136" t="s">
        <v>1</v>
      </c>
      <c r="E136" t="s">
        <v>142</v>
      </c>
      <c r="F136" s="3">
        <v>85</v>
      </c>
      <c r="G136" s="4">
        <f t="shared" si="6"/>
        <v>20788</v>
      </c>
      <c r="H136" s="4"/>
      <c r="I136" s="4"/>
      <c r="J136" s="4"/>
    </row>
    <row r="137" spans="2:10" x14ac:dyDescent="0.25">
      <c r="B137" t="s">
        <v>0</v>
      </c>
      <c r="C137" t="s">
        <v>1</v>
      </c>
      <c r="D137" t="s">
        <v>1</v>
      </c>
      <c r="E137" t="s">
        <v>143</v>
      </c>
      <c r="F137" s="3">
        <v>89</v>
      </c>
      <c r="G137" s="4">
        <f t="shared" si="6"/>
        <v>20877</v>
      </c>
      <c r="H137" s="4"/>
      <c r="I137" s="4"/>
      <c r="J137" s="4"/>
    </row>
    <row r="138" spans="2:10" x14ac:dyDescent="0.25">
      <c r="B138" t="s">
        <v>0</v>
      </c>
      <c r="C138" t="s">
        <v>1</v>
      </c>
      <c r="D138" t="s">
        <v>1</v>
      </c>
      <c r="E138" t="s">
        <v>144</v>
      </c>
      <c r="F138" s="3">
        <v>78</v>
      </c>
      <c r="G138" s="4">
        <f t="shared" si="6"/>
        <v>20955</v>
      </c>
      <c r="H138" s="4"/>
      <c r="I138" s="4"/>
      <c r="J138" s="4"/>
    </row>
    <row r="139" spans="2:10" x14ac:dyDescent="0.25">
      <c r="B139" t="s">
        <v>0</v>
      </c>
      <c r="C139" t="s">
        <v>1</v>
      </c>
      <c r="D139" t="s">
        <v>1</v>
      </c>
      <c r="E139" t="s">
        <v>145</v>
      </c>
      <c r="F139" s="3">
        <v>53</v>
      </c>
      <c r="G139" s="4">
        <f t="shared" si="6"/>
        <v>21008</v>
      </c>
      <c r="H139" s="4"/>
      <c r="I139" s="4"/>
      <c r="J139" s="4"/>
    </row>
    <row r="140" spans="2:10" x14ac:dyDescent="0.25">
      <c r="B140" t="s">
        <v>0</v>
      </c>
      <c r="C140" t="s">
        <v>1</v>
      </c>
      <c r="D140" t="s">
        <v>1</v>
      </c>
      <c r="E140" t="s">
        <v>146</v>
      </c>
      <c r="F140" s="3">
        <v>32</v>
      </c>
      <c r="G140" s="4">
        <f t="shared" si="6"/>
        <v>21040</v>
      </c>
      <c r="H140" s="4"/>
      <c r="I140" s="4"/>
      <c r="J140" s="4"/>
    </row>
    <row r="141" spans="2:10" x14ac:dyDescent="0.25">
      <c r="B141" t="s">
        <v>0</v>
      </c>
      <c r="C141" t="s">
        <v>1</v>
      </c>
      <c r="D141" t="s">
        <v>1</v>
      </c>
      <c r="E141" t="s">
        <v>147</v>
      </c>
      <c r="F141" s="3">
        <v>151</v>
      </c>
      <c r="G141" s="4">
        <f t="shared" si="6"/>
        <v>21191</v>
      </c>
      <c r="H141" s="4"/>
      <c r="I141" s="4"/>
      <c r="J141" s="4"/>
    </row>
    <row r="142" spans="2:10" x14ac:dyDescent="0.25">
      <c r="B142" t="s">
        <v>0</v>
      </c>
      <c r="C142" t="s">
        <v>1</v>
      </c>
      <c r="D142" t="s">
        <v>1</v>
      </c>
      <c r="E142" t="s">
        <v>148</v>
      </c>
      <c r="F142" s="3">
        <v>410</v>
      </c>
      <c r="G142" s="4">
        <f t="shared" si="6"/>
        <v>21601</v>
      </c>
      <c r="H142" s="4"/>
      <c r="I142" s="4"/>
      <c r="J142" s="4"/>
    </row>
    <row r="143" spans="2:10" x14ac:dyDescent="0.25">
      <c r="B143" t="s">
        <v>0</v>
      </c>
      <c r="C143" t="s">
        <v>1</v>
      </c>
      <c r="D143" t="s">
        <v>1</v>
      </c>
      <c r="E143" t="s">
        <v>149</v>
      </c>
      <c r="F143" s="3">
        <v>81</v>
      </c>
      <c r="G143" s="4">
        <f t="shared" si="6"/>
        <v>21682</v>
      </c>
      <c r="H143" s="4"/>
      <c r="I143" s="4"/>
      <c r="J143" s="4"/>
    </row>
    <row r="144" spans="2:10" x14ac:dyDescent="0.25">
      <c r="B144" t="s">
        <v>0</v>
      </c>
      <c r="C144" t="s">
        <v>1</v>
      </c>
      <c r="D144" t="s">
        <v>1</v>
      </c>
      <c r="E144" t="s">
        <v>150</v>
      </c>
      <c r="F144" s="3">
        <v>29</v>
      </c>
      <c r="G144" s="4">
        <f t="shared" si="6"/>
        <v>21711</v>
      </c>
      <c r="H144" s="4"/>
      <c r="I144" s="4"/>
      <c r="J144" s="4"/>
    </row>
    <row r="145" spans="2:10" x14ac:dyDescent="0.25">
      <c r="B145" t="s">
        <v>0</v>
      </c>
      <c r="C145" t="s">
        <v>1</v>
      </c>
      <c r="D145" t="s">
        <v>1</v>
      </c>
      <c r="E145" t="s">
        <v>151</v>
      </c>
      <c r="F145" s="3">
        <v>205</v>
      </c>
      <c r="G145" s="4">
        <f t="shared" si="6"/>
        <v>21916</v>
      </c>
      <c r="H145" s="4"/>
      <c r="I145" s="4"/>
      <c r="J145" s="4"/>
    </row>
    <row r="146" spans="2:10" x14ac:dyDescent="0.25">
      <c r="B146" t="s">
        <v>0</v>
      </c>
      <c r="C146" t="s">
        <v>1</v>
      </c>
      <c r="D146" t="s">
        <v>1</v>
      </c>
      <c r="E146" t="s">
        <v>152</v>
      </c>
      <c r="F146" s="3">
        <v>104</v>
      </c>
      <c r="G146" s="4">
        <f t="shared" si="6"/>
        <v>22020</v>
      </c>
      <c r="H146" s="4"/>
      <c r="I146" s="4"/>
      <c r="J146" s="4"/>
    </row>
    <row r="147" spans="2:10" x14ac:dyDescent="0.25">
      <c r="B147" t="s">
        <v>0</v>
      </c>
      <c r="C147" t="s">
        <v>1</v>
      </c>
      <c r="D147" t="s">
        <v>1</v>
      </c>
      <c r="E147" t="s">
        <v>153</v>
      </c>
      <c r="F147" s="3">
        <v>178</v>
      </c>
      <c r="G147" s="4">
        <f t="shared" si="6"/>
        <v>22198</v>
      </c>
      <c r="H147" s="4"/>
      <c r="I147" s="4"/>
      <c r="J147" s="4"/>
    </row>
    <row r="148" spans="2:10" x14ac:dyDescent="0.25">
      <c r="B148" t="s">
        <v>0</v>
      </c>
      <c r="C148" t="s">
        <v>1</v>
      </c>
      <c r="D148" t="s">
        <v>1</v>
      </c>
      <c r="E148" t="s">
        <v>154</v>
      </c>
      <c r="F148" s="3">
        <v>176</v>
      </c>
      <c r="G148" s="4">
        <f t="shared" si="6"/>
        <v>22374</v>
      </c>
      <c r="H148" s="4"/>
      <c r="I148" s="4"/>
      <c r="J148" s="4"/>
    </row>
    <row r="149" spans="2:10" x14ac:dyDescent="0.25">
      <c r="B149" t="s">
        <v>0</v>
      </c>
      <c r="C149" t="s">
        <v>1</v>
      </c>
      <c r="D149" t="s">
        <v>1</v>
      </c>
      <c r="E149" t="s">
        <v>155</v>
      </c>
      <c r="F149" s="3">
        <v>288</v>
      </c>
      <c r="G149" s="4">
        <f t="shared" si="6"/>
        <v>22662</v>
      </c>
      <c r="H149" s="4"/>
      <c r="I149" s="4"/>
      <c r="J149" s="4"/>
    </row>
    <row r="150" spans="2:10" x14ac:dyDescent="0.25">
      <c r="B150" t="s">
        <v>0</v>
      </c>
      <c r="C150" t="s">
        <v>1</v>
      </c>
      <c r="D150" t="s">
        <v>1</v>
      </c>
      <c r="E150" t="s">
        <v>156</v>
      </c>
      <c r="F150" s="3">
        <v>487</v>
      </c>
      <c r="G150" s="4">
        <f t="shared" si="6"/>
        <v>23149</v>
      </c>
      <c r="H150" s="4"/>
      <c r="I150" s="4"/>
      <c r="J150" s="4"/>
    </row>
    <row r="151" spans="2:10" x14ac:dyDescent="0.25">
      <c r="B151" t="s">
        <v>0</v>
      </c>
      <c r="C151" t="s">
        <v>1</v>
      </c>
      <c r="D151" t="s">
        <v>1</v>
      </c>
      <c r="E151" t="s">
        <v>157</v>
      </c>
      <c r="F151" s="3">
        <v>72</v>
      </c>
      <c r="G151" s="4">
        <f t="shared" si="6"/>
        <v>23221</v>
      </c>
      <c r="H151" s="4"/>
      <c r="I151" s="4"/>
      <c r="J151" s="4"/>
    </row>
    <row r="152" spans="2:10" x14ac:dyDescent="0.25">
      <c r="B152" t="s">
        <v>0</v>
      </c>
      <c r="C152" t="s">
        <v>1</v>
      </c>
      <c r="D152" t="s">
        <v>1</v>
      </c>
      <c r="E152" t="s">
        <v>158</v>
      </c>
      <c r="F152" s="3">
        <v>45</v>
      </c>
      <c r="G152" s="4">
        <f t="shared" si="6"/>
        <v>23266</v>
      </c>
      <c r="H152" s="4"/>
      <c r="I152" s="4"/>
      <c r="J152" s="4"/>
    </row>
    <row r="153" spans="2:10" x14ac:dyDescent="0.25">
      <c r="B153" t="s">
        <v>0</v>
      </c>
      <c r="C153" t="s">
        <v>1</v>
      </c>
      <c r="D153" t="s">
        <v>1</v>
      </c>
      <c r="E153" t="s">
        <v>159</v>
      </c>
      <c r="F153" s="3">
        <v>9</v>
      </c>
      <c r="G153" s="4">
        <f t="shared" si="6"/>
        <v>23275</v>
      </c>
      <c r="H153" s="4"/>
      <c r="I153" s="4"/>
      <c r="J153" s="4"/>
    </row>
    <row r="154" spans="2:10" x14ac:dyDescent="0.25">
      <c r="B154" t="s">
        <v>0</v>
      </c>
      <c r="C154" t="s">
        <v>1</v>
      </c>
      <c r="D154" t="s">
        <v>1</v>
      </c>
      <c r="E154" t="s">
        <v>160</v>
      </c>
      <c r="F154" s="3">
        <v>147</v>
      </c>
      <c r="G154" s="4">
        <f t="shared" si="6"/>
        <v>23422</v>
      </c>
      <c r="H154" s="4"/>
      <c r="I154" s="4"/>
      <c r="J154" s="4"/>
    </row>
    <row r="155" spans="2:10" x14ac:dyDescent="0.25">
      <c r="B155" t="s">
        <v>0</v>
      </c>
      <c r="C155" t="s">
        <v>1</v>
      </c>
      <c r="D155" t="s">
        <v>1</v>
      </c>
      <c r="E155" t="s">
        <v>161</v>
      </c>
      <c r="F155" s="3">
        <v>13</v>
      </c>
      <c r="G155" s="4">
        <f t="shared" si="6"/>
        <v>23435</v>
      </c>
      <c r="H155" s="4"/>
      <c r="I155" s="4"/>
      <c r="J155" s="4"/>
    </row>
    <row r="156" spans="2:10" x14ac:dyDescent="0.25">
      <c r="B156" t="s">
        <v>0</v>
      </c>
      <c r="C156" t="s">
        <v>1</v>
      </c>
      <c r="D156" t="s">
        <v>1</v>
      </c>
      <c r="E156" t="s">
        <v>162</v>
      </c>
      <c r="F156" s="3">
        <v>110</v>
      </c>
      <c r="G156" s="4">
        <f t="shared" si="6"/>
        <v>23545</v>
      </c>
      <c r="H156" s="4"/>
      <c r="I156" s="4"/>
      <c r="J156" s="4"/>
    </row>
    <row r="157" spans="2:10" x14ac:dyDescent="0.25">
      <c r="B157" t="s">
        <v>0</v>
      </c>
      <c r="C157" t="s">
        <v>1</v>
      </c>
      <c r="D157" t="s">
        <v>1</v>
      </c>
      <c r="E157" t="s">
        <v>163</v>
      </c>
      <c r="F157" s="3">
        <v>89</v>
      </c>
      <c r="G157" s="4">
        <f t="shared" si="6"/>
        <v>23634</v>
      </c>
      <c r="H157" s="4"/>
      <c r="I157" s="4"/>
      <c r="J157" s="4"/>
    </row>
    <row r="158" spans="2:10" x14ac:dyDescent="0.25">
      <c r="B158" t="s">
        <v>0</v>
      </c>
      <c r="C158" t="s">
        <v>1</v>
      </c>
      <c r="D158" t="s">
        <v>1</v>
      </c>
      <c r="E158" t="s">
        <v>164</v>
      </c>
      <c r="F158" s="3">
        <v>76</v>
      </c>
      <c r="G158" s="4">
        <f t="shared" si="6"/>
        <v>23710</v>
      </c>
      <c r="H158" s="4"/>
      <c r="I158" s="4"/>
      <c r="J158" s="4"/>
    </row>
    <row r="159" spans="2:10" x14ac:dyDescent="0.25">
      <c r="B159" t="s">
        <v>0</v>
      </c>
      <c r="C159" t="s">
        <v>1</v>
      </c>
      <c r="D159" t="s">
        <v>1</v>
      </c>
      <c r="E159" t="s">
        <v>165</v>
      </c>
      <c r="F159" s="3">
        <v>7</v>
      </c>
      <c r="G159" s="4">
        <f t="shared" si="6"/>
        <v>23717</v>
      </c>
      <c r="H159" s="4"/>
      <c r="I159" s="4"/>
      <c r="J159" s="4"/>
    </row>
    <row r="160" spans="2:10" x14ac:dyDescent="0.25">
      <c r="B160" t="s">
        <v>0</v>
      </c>
      <c r="C160" t="s">
        <v>1</v>
      </c>
      <c r="D160" t="s">
        <v>1</v>
      </c>
      <c r="E160" t="s">
        <v>166</v>
      </c>
      <c r="F160" s="3">
        <v>25</v>
      </c>
      <c r="G160" s="4">
        <f t="shared" si="6"/>
        <v>23742</v>
      </c>
      <c r="H160" s="4"/>
      <c r="I160" s="4"/>
      <c r="J160" s="4"/>
    </row>
    <row r="161" spans="2:10" x14ac:dyDescent="0.25">
      <c r="B161" t="s">
        <v>0</v>
      </c>
      <c r="C161" t="s">
        <v>1</v>
      </c>
      <c r="D161" t="s">
        <v>1</v>
      </c>
      <c r="E161" t="s">
        <v>167</v>
      </c>
      <c r="F161" s="3">
        <v>109</v>
      </c>
      <c r="G161" s="4">
        <f t="shared" si="6"/>
        <v>23851</v>
      </c>
      <c r="H161" s="4"/>
      <c r="I161" s="4"/>
      <c r="J161" s="4"/>
    </row>
    <row r="162" spans="2:10" x14ac:dyDescent="0.25">
      <c r="B162" t="s">
        <v>0</v>
      </c>
      <c r="C162" t="s">
        <v>1</v>
      </c>
      <c r="D162" t="s">
        <v>1</v>
      </c>
      <c r="E162" t="s">
        <v>168</v>
      </c>
      <c r="F162" s="3">
        <v>144</v>
      </c>
      <c r="G162" s="4">
        <f t="shared" si="6"/>
        <v>23995</v>
      </c>
      <c r="H162" s="4"/>
      <c r="I162" s="4"/>
      <c r="J162" s="4"/>
    </row>
    <row r="163" spans="2:10" x14ac:dyDescent="0.25">
      <c r="B163" t="s">
        <v>0</v>
      </c>
      <c r="C163" t="s">
        <v>1</v>
      </c>
      <c r="D163" t="s">
        <v>1</v>
      </c>
      <c r="E163" t="s">
        <v>169</v>
      </c>
      <c r="F163" s="3">
        <v>188</v>
      </c>
      <c r="G163" s="4">
        <f t="shared" si="6"/>
        <v>24183</v>
      </c>
      <c r="H163" s="4"/>
      <c r="I163" s="4"/>
      <c r="J163" s="4"/>
    </row>
    <row r="164" spans="2:10" x14ac:dyDescent="0.25">
      <c r="B164" t="s">
        <v>0</v>
      </c>
      <c r="C164" t="s">
        <v>1</v>
      </c>
      <c r="D164" t="s">
        <v>170</v>
      </c>
      <c r="E164" t="s">
        <v>171</v>
      </c>
      <c r="F164" s="3">
        <v>189</v>
      </c>
      <c r="G164" s="4">
        <f t="shared" si="6"/>
        <v>24372</v>
      </c>
      <c r="H164" s="4"/>
      <c r="I164" s="4"/>
      <c r="J164" s="4"/>
    </row>
    <row r="165" spans="2:10" x14ac:dyDescent="0.25">
      <c r="B165" t="s">
        <v>0</v>
      </c>
      <c r="C165" t="s">
        <v>1</v>
      </c>
      <c r="D165" t="s">
        <v>170</v>
      </c>
      <c r="E165" t="s">
        <v>172</v>
      </c>
      <c r="F165" s="3">
        <v>153</v>
      </c>
      <c r="G165" s="4">
        <f t="shared" si="6"/>
        <v>24525</v>
      </c>
      <c r="H165" s="4"/>
      <c r="I165" s="4"/>
      <c r="J165" s="4"/>
    </row>
    <row r="166" spans="2:10" x14ac:dyDescent="0.25">
      <c r="B166" t="s">
        <v>0</v>
      </c>
      <c r="C166" t="s">
        <v>1</v>
      </c>
      <c r="D166" t="s">
        <v>170</v>
      </c>
      <c r="E166" t="s">
        <v>173</v>
      </c>
      <c r="F166" s="3">
        <v>240</v>
      </c>
      <c r="G166" s="4">
        <f t="shared" si="6"/>
        <v>24765</v>
      </c>
      <c r="H166" s="4"/>
      <c r="I166" s="4"/>
      <c r="J166" s="4"/>
    </row>
    <row r="167" spans="2:10" x14ac:dyDescent="0.25">
      <c r="B167" t="s">
        <v>0</v>
      </c>
      <c r="C167" t="s">
        <v>1</v>
      </c>
      <c r="D167" t="s">
        <v>170</v>
      </c>
      <c r="E167" t="s">
        <v>174</v>
      </c>
      <c r="F167" s="3">
        <v>441</v>
      </c>
      <c r="G167" s="4">
        <f t="shared" si="6"/>
        <v>25206</v>
      </c>
      <c r="H167" s="4"/>
      <c r="I167" s="4"/>
      <c r="J167" s="4"/>
    </row>
    <row r="168" spans="2:10" x14ac:dyDescent="0.25">
      <c r="B168" t="s">
        <v>0</v>
      </c>
      <c r="C168" t="s">
        <v>1</v>
      </c>
      <c r="D168" t="s">
        <v>170</v>
      </c>
      <c r="E168" t="s">
        <v>17</v>
      </c>
      <c r="F168" s="3">
        <v>215</v>
      </c>
      <c r="G168" s="4">
        <f t="shared" si="6"/>
        <v>25421</v>
      </c>
      <c r="H168" s="4"/>
      <c r="I168" s="4"/>
      <c r="J168" s="4"/>
    </row>
    <row r="169" spans="2:10" x14ac:dyDescent="0.25">
      <c r="B169" t="s">
        <v>0</v>
      </c>
      <c r="C169" t="s">
        <v>1</v>
      </c>
      <c r="D169" t="s">
        <v>170</v>
      </c>
      <c r="E169" t="s">
        <v>175</v>
      </c>
      <c r="F169" s="3">
        <v>276</v>
      </c>
      <c r="G169" s="4">
        <f t="shared" si="6"/>
        <v>25697</v>
      </c>
      <c r="H169" s="4"/>
      <c r="I169" s="4"/>
      <c r="J169" s="4"/>
    </row>
    <row r="170" spans="2:10" x14ac:dyDescent="0.25">
      <c r="B170" t="s">
        <v>0</v>
      </c>
      <c r="C170" t="s">
        <v>1</v>
      </c>
      <c r="D170" t="s">
        <v>170</v>
      </c>
      <c r="E170" t="s">
        <v>176</v>
      </c>
      <c r="F170" s="3">
        <v>186</v>
      </c>
      <c r="G170" s="4">
        <f t="shared" si="6"/>
        <v>25883</v>
      </c>
      <c r="H170" s="4"/>
      <c r="I170" s="4"/>
      <c r="J170" s="4"/>
    </row>
    <row r="171" spans="2:10" x14ac:dyDescent="0.25">
      <c r="B171" t="s">
        <v>0</v>
      </c>
      <c r="C171" t="s">
        <v>1</v>
      </c>
      <c r="D171" t="s">
        <v>170</v>
      </c>
      <c r="E171" t="s">
        <v>177</v>
      </c>
      <c r="F171" s="3">
        <v>49</v>
      </c>
      <c r="G171" s="4">
        <f t="shared" si="6"/>
        <v>25932</v>
      </c>
      <c r="H171" s="4"/>
      <c r="I171" s="4"/>
      <c r="J171" s="4"/>
    </row>
    <row r="172" spans="2:10" x14ac:dyDescent="0.25">
      <c r="B172" t="s">
        <v>0</v>
      </c>
      <c r="C172" t="s">
        <v>1</v>
      </c>
      <c r="D172" t="s">
        <v>170</v>
      </c>
      <c r="E172" t="s">
        <v>178</v>
      </c>
      <c r="F172" s="3">
        <v>145</v>
      </c>
      <c r="G172" s="4">
        <f t="shared" si="6"/>
        <v>26077</v>
      </c>
      <c r="H172" s="4"/>
      <c r="I172" s="4"/>
      <c r="J172" s="4"/>
    </row>
    <row r="173" spans="2:10" x14ac:dyDescent="0.25">
      <c r="B173" t="s">
        <v>0</v>
      </c>
      <c r="C173" t="s">
        <v>1</v>
      </c>
      <c r="D173" t="s">
        <v>170</v>
      </c>
      <c r="E173" t="s">
        <v>179</v>
      </c>
      <c r="F173" s="3">
        <v>164</v>
      </c>
      <c r="G173" s="4">
        <f t="shared" si="6"/>
        <v>26241</v>
      </c>
      <c r="H173" s="4"/>
      <c r="I173" s="4"/>
      <c r="J173" s="4"/>
    </row>
    <row r="174" spans="2:10" x14ac:dyDescent="0.25">
      <c r="B174" t="s">
        <v>0</v>
      </c>
      <c r="C174" t="s">
        <v>1</v>
      </c>
      <c r="D174" t="s">
        <v>170</v>
      </c>
      <c r="E174" t="s">
        <v>180</v>
      </c>
      <c r="F174" s="3">
        <v>155</v>
      </c>
      <c r="G174" s="4">
        <f t="shared" si="6"/>
        <v>26396</v>
      </c>
      <c r="H174" s="4"/>
      <c r="I174" s="4"/>
      <c r="J174" s="4"/>
    </row>
    <row r="175" spans="2:10" x14ac:dyDescent="0.25">
      <c r="B175" t="s">
        <v>0</v>
      </c>
      <c r="C175" t="s">
        <v>1</v>
      </c>
      <c r="D175" t="s">
        <v>170</v>
      </c>
      <c r="E175" t="s">
        <v>181</v>
      </c>
      <c r="F175" s="3">
        <v>176</v>
      </c>
      <c r="G175" s="4">
        <f t="shared" si="6"/>
        <v>26572</v>
      </c>
      <c r="H175" s="4"/>
      <c r="I175" s="4"/>
      <c r="J175" s="4"/>
    </row>
    <row r="176" spans="2:10" x14ac:dyDescent="0.25">
      <c r="B176" t="s">
        <v>0</v>
      </c>
      <c r="C176" t="s">
        <v>1</v>
      </c>
      <c r="D176" t="s">
        <v>170</v>
      </c>
      <c r="E176" t="s">
        <v>182</v>
      </c>
      <c r="F176" s="3">
        <v>229</v>
      </c>
      <c r="G176" s="4">
        <f t="shared" si="6"/>
        <v>26801</v>
      </c>
      <c r="H176" s="4"/>
      <c r="I176" s="4"/>
      <c r="J176" s="4"/>
    </row>
    <row r="177" spans="2:10" x14ac:dyDescent="0.25">
      <c r="B177" t="s">
        <v>0</v>
      </c>
      <c r="C177" t="s">
        <v>1</v>
      </c>
      <c r="D177" t="s">
        <v>170</v>
      </c>
      <c r="E177" t="s">
        <v>183</v>
      </c>
      <c r="F177" s="3">
        <v>183</v>
      </c>
      <c r="G177" s="4">
        <f t="shared" si="6"/>
        <v>26984</v>
      </c>
      <c r="H177" s="4"/>
      <c r="I177" s="4"/>
      <c r="J177" s="4"/>
    </row>
    <row r="178" spans="2:10" x14ac:dyDescent="0.25">
      <c r="B178" t="s">
        <v>0</v>
      </c>
      <c r="C178" t="s">
        <v>1</v>
      </c>
      <c r="D178" t="s">
        <v>170</v>
      </c>
      <c r="E178" t="s">
        <v>184</v>
      </c>
      <c r="F178" s="3">
        <v>213</v>
      </c>
      <c r="G178" s="4">
        <f t="shared" si="6"/>
        <v>27197</v>
      </c>
      <c r="H178" s="4"/>
      <c r="I178" s="4"/>
      <c r="J178" s="4"/>
    </row>
    <row r="179" spans="2:10" x14ac:dyDescent="0.25">
      <c r="B179" t="s">
        <v>0</v>
      </c>
      <c r="C179" t="s">
        <v>1</v>
      </c>
      <c r="D179" t="s">
        <v>170</v>
      </c>
      <c r="E179" t="s">
        <v>185</v>
      </c>
      <c r="F179" s="3">
        <v>193</v>
      </c>
      <c r="G179" s="4">
        <f t="shared" si="6"/>
        <v>27390</v>
      </c>
      <c r="H179" s="4"/>
      <c r="I179" s="4"/>
      <c r="J179" s="4"/>
    </row>
    <row r="180" spans="2:10" x14ac:dyDescent="0.25">
      <c r="B180" t="s">
        <v>0</v>
      </c>
      <c r="C180" t="s">
        <v>1</v>
      </c>
      <c r="D180" t="s">
        <v>170</v>
      </c>
      <c r="E180" t="s">
        <v>186</v>
      </c>
      <c r="F180" s="3">
        <v>563</v>
      </c>
      <c r="G180" s="4">
        <f t="shared" si="6"/>
        <v>27953</v>
      </c>
      <c r="H180" s="4"/>
      <c r="I180" s="4"/>
      <c r="J180" s="4"/>
    </row>
    <row r="181" spans="2:10" x14ac:dyDescent="0.25">
      <c r="B181" t="s">
        <v>0</v>
      </c>
      <c r="C181" t="s">
        <v>1</v>
      </c>
      <c r="D181" t="s">
        <v>170</v>
      </c>
      <c r="E181" t="s">
        <v>187</v>
      </c>
      <c r="F181" s="3">
        <v>552</v>
      </c>
      <c r="G181" s="4">
        <f t="shared" si="6"/>
        <v>28505</v>
      </c>
      <c r="H181" s="4"/>
      <c r="I181" s="4"/>
      <c r="J181" s="4"/>
    </row>
    <row r="182" spans="2:10" x14ac:dyDescent="0.25">
      <c r="B182" t="s">
        <v>0</v>
      </c>
      <c r="C182" t="s">
        <v>1</v>
      </c>
      <c r="D182" t="s">
        <v>170</v>
      </c>
      <c r="E182" t="s">
        <v>188</v>
      </c>
      <c r="F182" s="3">
        <v>252</v>
      </c>
      <c r="G182" s="4">
        <f t="shared" si="6"/>
        <v>28757</v>
      </c>
      <c r="H182" s="4"/>
      <c r="I182" s="4"/>
      <c r="J182" s="4"/>
    </row>
    <row r="183" spans="2:10" x14ac:dyDescent="0.25">
      <c r="B183" t="s">
        <v>0</v>
      </c>
      <c r="C183" t="s">
        <v>1</v>
      </c>
      <c r="D183" t="s">
        <v>170</v>
      </c>
      <c r="E183" t="s">
        <v>189</v>
      </c>
      <c r="F183" s="3">
        <v>283</v>
      </c>
      <c r="G183" s="4">
        <f t="shared" si="6"/>
        <v>29040</v>
      </c>
      <c r="H183" s="4"/>
      <c r="I183" s="4"/>
      <c r="J183" s="4"/>
    </row>
    <row r="184" spans="2:10" x14ac:dyDescent="0.25">
      <c r="B184" t="s">
        <v>0</v>
      </c>
      <c r="C184" t="s">
        <v>1</v>
      </c>
      <c r="D184" t="s">
        <v>170</v>
      </c>
      <c r="E184" t="s">
        <v>190</v>
      </c>
      <c r="F184" s="3">
        <v>220</v>
      </c>
      <c r="G184" s="4">
        <f t="shared" si="6"/>
        <v>29260</v>
      </c>
      <c r="H184" s="4"/>
      <c r="I184" s="4"/>
      <c r="J184" s="4"/>
    </row>
    <row r="185" spans="2:10" x14ac:dyDescent="0.25">
      <c r="B185" t="s">
        <v>0</v>
      </c>
      <c r="C185" t="s">
        <v>1</v>
      </c>
      <c r="D185" t="s">
        <v>170</v>
      </c>
      <c r="E185" t="s">
        <v>191</v>
      </c>
      <c r="F185" s="3">
        <v>284</v>
      </c>
      <c r="G185" s="4">
        <f t="shared" si="6"/>
        <v>29544</v>
      </c>
      <c r="H185" s="4"/>
      <c r="I185" s="4"/>
      <c r="J185" s="4"/>
    </row>
    <row r="186" spans="2:10" x14ac:dyDescent="0.25">
      <c r="B186" t="s">
        <v>0</v>
      </c>
      <c r="C186" t="s">
        <v>1</v>
      </c>
      <c r="D186" t="s">
        <v>170</v>
      </c>
      <c r="E186" t="s">
        <v>192</v>
      </c>
      <c r="F186" s="3">
        <v>475</v>
      </c>
      <c r="G186" s="4">
        <f t="shared" si="6"/>
        <v>30019</v>
      </c>
      <c r="H186" s="4"/>
      <c r="I186" s="4"/>
      <c r="J186" s="4"/>
    </row>
    <row r="187" spans="2:10" x14ac:dyDescent="0.25">
      <c r="B187" t="s">
        <v>0</v>
      </c>
      <c r="C187" t="s">
        <v>1</v>
      </c>
      <c r="D187" t="s">
        <v>170</v>
      </c>
      <c r="E187" t="s">
        <v>193</v>
      </c>
      <c r="F187" s="3">
        <v>96</v>
      </c>
      <c r="G187" s="4">
        <f t="shared" si="6"/>
        <v>30115</v>
      </c>
      <c r="H187" s="4"/>
      <c r="I187" s="4"/>
      <c r="J187" s="4"/>
    </row>
    <row r="188" spans="2:10" x14ac:dyDescent="0.25">
      <c r="B188" t="s">
        <v>0</v>
      </c>
      <c r="C188" t="s">
        <v>1</v>
      </c>
      <c r="D188" t="s">
        <v>170</v>
      </c>
      <c r="E188" t="s">
        <v>194</v>
      </c>
      <c r="F188" s="3">
        <v>685</v>
      </c>
      <c r="G188" s="4">
        <f t="shared" si="6"/>
        <v>30800</v>
      </c>
      <c r="H188" s="4"/>
      <c r="I188" s="4"/>
      <c r="J188" s="4"/>
    </row>
    <row r="189" spans="2:10" x14ac:dyDescent="0.25">
      <c r="B189" t="s">
        <v>0</v>
      </c>
      <c r="C189" t="s">
        <v>1</v>
      </c>
      <c r="D189" t="s">
        <v>170</v>
      </c>
      <c r="E189" t="s">
        <v>195</v>
      </c>
      <c r="F189" s="3">
        <v>110</v>
      </c>
      <c r="G189" s="4">
        <f t="shared" si="6"/>
        <v>30910</v>
      </c>
      <c r="H189" s="4"/>
      <c r="I189" s="4"/>
      <c r="J189" s="4"/>
    </row>
    <row r="190" spans="2:10" x14ac:dyDescent="0.25">
      <c r="B190" t="s">
        <v>0</v>
      </c>
      <c r="C190" t="s">
        <v>1</v>
      </c>
      <c r="D190" t="s">
        <v>170</v>
      </c>
      <c r="E190" t="s">
        <v>196</v>
      </c>
      <c r="F190" s="3">
        <v>254</v>
      </c>
      <c r="G190" s="4">
        <f t="shared" si="6"/>
        <v>31164</v>
      </c>
      <c r="H190" s="4"/>
      <c r="I190" s="4"/>
      <c r="J190" s="4"/>
    </row>
    <row r="191" spans="2:10" x14ac:dyDescent="0.25">
      <c r="B191" t="s">
        <v>0</v>
      </c>
      <c r="C191" t="s">
        <v>1</v>
      </c>
      <c r="D191" t="s">
        <v>170</v>
      </c>
      <c r="E191" t="s">
        <v>197</v>
      </c>
      <c r="F191" s="3">
        <v>176</v>
      </c>
      <c r="G191" s="4">
        <f t="shared" si="6"/>
        <v>31340</v>
      </c>
      <c r="H191" s="4"/>
      <c r="I191" s="4"/>
      <c r="J191" s="4"/>
    </row>
    <row r="192" spans="2:10" x14ac:dyDescent="0.25">
      <c r="B192" t="s">
        <v>0</v>
      </c>
      <c r="C192" t="s">
        <v>1</v>
      </c>
      <c r="D192" t="s">
        <v>170</v>
      </c>
      <c r="E192" t="s">
        <v>198</v>
      </c>
      <c r="F192" s="3">
        <v>77</v>
      </c>
      <c r="G192" s="4">
        <f t="shared" si="6"/>
        <v>31417</v>
      </c>
      <c r="H192" s="4"/>
      <c r="I192" s="4"/>
      <c r="J192" s="4"/>
    </row>
    <row r="193" spans="2:10" x14ac:dyDescent="0.25">
      <c r="B193" t="s">
        <v>0</v>
      </c>
      <c r="C193" t="s">
        <v>1</v>
      </c>
      <c r="D193" t="s">
        <v>170</v>
      </c>
      <c r="E193" t="s">
        <v>199</v>
      </c>
      <c r="F193" s="3">
        <v>71</v>
      </c>
      <c r="G193" s="4">
        <f t="shared" si="6"/>
        <v>31488</v>
      </c>
      <c r="H193" s="4"/>
      <c r="I193" s="4"/>
      <c r="J193" s="4"/>
    </row>
    <row r="194" spans="2:10" x14ac:dyDescent="0.25">
      <c r="B194" t="s">
        <v>0</v>
      </c>
      <c r="C194" t="s">
        <v>1</v>
      </c>
      <c r="D194" t="s">
        <v>170</v>
      </c>
      <c r="E194" t="s">
        <v>200</v>
      </c>
      <c r="F194" s="3">
        <v>174</v>
      </c>
      <c r="G194" s="4">
        <f t="shared" si="6"/>
        <v>31662</v>
      </c>
      <c r="H194" s="4"/>
      <c r="I194" s="4"/>
      <c r="J194" s="4"/>
    </row>
    <row r="195" spans="2:10" x14ac:dyDescent="0.25">
      <c r="B195" t="s">
        <v>0</v>
      </c>
      <c r="C195" t="s">
        <v>1</v>
      </c>
      <c r="D195" t="s">
        <v>170</v>
      </c>
      <c r="E195" t="s">
        <v>201</v>
      </c>
      <c r="F195" s="3">
        <v>84</v>
      </c>
      <c r="G195" s="4">
        <f t="shared" si="6"/>
        <v>31746</v>
      </c>
      <c r="H195" s="4"/>
      <c r="I195" s="4"/>
      <c r="J195" s="4"/>
    </row>
    <row r="196" spans="2:10" x14ac:dyDescent="0.25">
      <c r="B196" t="s">
        <v>0</v>
      </c>
      <c r="C196" t="s">
        <v>1</v>
      </c>
      <c r="D196" t="s">
        <v>170</v>
      </c>
      <c r="E196" t="s">
        <v>202</v>
      </c>
      <c r="F196" s="3">
        <v>118</v>
      </c>
      <c r="G196" s="4">
        <f t="shared" ref="G196:G259" si="7">G195+F196</f>
        <v>31864</v>
      </c>
      <c r="H196" s="4"/>
      <c r="I196" s="4"/>
      <c r="J196" s="4"/>
    </row>
    <row r="197" spans="2:10" x14ac:dyDescent="0.25">
      <c r="B197" t="s">
        <v>0</v>
      </c>
      <c r="C197" t="s">
        <v>1</v>
      </c>
      <c r="D197" t="s">
        <v>170</v>
      </c>
      <c r="E197" t="s">
        <v>203</v>
      </c>
      <c r="F197" s="3">
        <v>66</v>
      </c>
      <c r="G197" s="4">
        <f t="shared" si="7"/>
        <v>31930</v>
      </c>
      <c r="H197" s="4"/>
      <c r="I197" s="4"/>
      <c r="J197" s="4"/>
    </row>
    <row r="198" spans="2:10" x14ac:dyDescent="0.25">
      <c r="B198" t="s">
        <v>0</v>
      </c>
      <c r="C198" t="s">
        <v>1</v>
      </c>
      <c r="D198" t="s">
        <v>170</v>
      </c>
      <c r="E198" t="s">
        <v>204</v>
      </c>
      <c r="F198" s="3">
        <v>183</v>
      </c>
      <c r="G198" s="4">
        <f t="shared" si="7"/>
        <v>32113</v>
      </c>
      <c r="H198" s="4"/>
      <c r="I198" s="4"/>
      <c r="J198" s="4"/>
    </row>
    <row r="199" spans="2:10" x14ac:dyDescent="0.25">
      <c r="B199" t="s">
        <v>0</v>
      </c>
      <c r="C199" t="s">
        <v>1</v>
      </c>
      <c r="D199" t="s">
        <v>170</v>
      </c>
      <c r="E199" t="s">
        <v>205</v>
      </c>
      <c r="F199" s="3">
        <v>101</v>
      </c>
      <c r="G199" s="4">
        <f t="shared" si="7"/>
        <v>32214</v>
      </c>
      <c r="H199" s="4"/>
      <c r="I199" s="4"/>
      <c r="J199" s="4"/>
    </row>
    <row r="200" spans="2:10" x14ac:dyDescent="0.25">
      <c r="B200" t="s">
        <v>0</v>
      </c>
      <c r="C200" t="s">
        <v>1</v>
      </c>
      <c r="D200" t="s">
        <v>170</v>
      </c>
      <c r="E200" t="s">
        <v>206</v>
      </c>
      <c r="F200" s="3">
        <v>124</v>
      </c>
      <c r="G200" s="4">
        <f t="shared" si="7"/>
        <v>32338</v>
      </c>
      <c r="H200" s="4"/>
      <c r="I200" s="4"/>
      <c r="J200" s="4"/>
    </row>
    <row r="201" spans="2:10" x14ac:dyDescent="0.25">
      <c r="B201" t="s">
        <v>0</v>
      </c>
      <c r="C201" t="s">
        <v>1</v>
      </c>
      <c r="D201" t="s">
        <v>170</v>
      </c>
      <c r="E201" t="s">
        <v>207</v>
      </c>
      <c r="F201" s="3">
        <v>269</v>
      </c>
      <c r="G201" s="4">
        <f t="shared" si="7"/>
        <v>32607</v>
      </c>
      <c r="H201" s="4"/>
      <c r="I201" s="4"/>
      <c r="J201" s="4"/>
    </row>
    <row r="202" spans="2:10" x14ac:dyDescent="0.25">
      <c r="B202" t="s">
        <v>0</v>
      </c>
      <c r="C202" t="s">
        <v>1</v>
      </c>
      <c r="D202" t="s">
        <v>170</v>
      </c>
      <c r="E202" t="s">
        <v>208</v>
      </c>
      <c r="F202" s="3">
        <v>211</v>
      </c>
      <c r="G202" s="4">
        <f t="shared" si="7"/>
        <v>32818</v>
      </c>
      <c r="H202" s="4"/>
      <c r="I202" s="4"/>
      <c r="J202" s="4"/>
    </row>
    <row r="203" spans="2:10" x14ac:dyDescent="0.25">
      <c r="B203" t="s">
        <v>0</v>
      </c>
      <c r="C203" t="s">
        <v>1</v>
      </c>
      <c r="D203" t="s">
        <v>170</v>
      </c>
      <c r="E203" t="s">
        <v>209</v>
      </c>
      <c r="F203" s="3">
        <v>58</v>
      </c>
      <c r="G203" s="4">
        <f t="shared" si="7"/>
        <v>32876</v>
      </c>
      <c r="H203" s="4"/>
      <c r="I203" s="4"/>
      <c r="J203" s="4"/>
    </row>
    <row r="204" spans="2:10" x14ac:dyDescent="0.25">
      <c r="B204" t="s">
        <v>0</v>
      </c>
      <c r="C204" t="s">
        <v>1</v>
      </c>
      <c r="D204" t="s">
        <v>170</v>
      </c>
      <c r="E204" t="s">
        <v>210</v>
      </c>
      <c r="F204" s="3">
        <v>339</v>
      </c>
      <c r="G204" s="4">
        <f t="shared" si="7"/>
        <v>33215</v>
      </c>
      <c r="H204" s="4"/>
      <c r="I204" s="4"/>
      <c r="J204" s="4"/>
    </row>
    <row r="205" spans="2:10" x14ac:dyDescent="0.25">
      <c r="B205" t="s">
        <v>0</v>
      </c>
      <c r="C205" t="s">
        <v>1</v>
      </c>
      <c r="D205" t="s">
        <v>170</v>
      </c>
      <c r="E205" t="s">
        <v>211</v>
      </c>
      <c r="F205" s="3">
        <v>192</v>
      </c>
      <c r="G205" s="4">
        <f t="shared" si="7"/>
        <v>33407</v>
      </c>
      <c r="H205" s="4"/>
      <c r="I205" s="4"/>
      <c r="J205" s="4"/>
    </row>
    <row r="206" spans="2:10" x14ac:dyDescent="0.25">
      <c r="B206" t="s">
        <v>0</v>
      </c>
      <c r="C206" t="s">
        <v>1</v>
      </c>
      <c r="D206" t="s">
        <v>170</v>
      </c>
      <c r="E206" t="s">
        <v>212</v>
      </c>
      <c r="F206" s="3">
        <v>184</v>
      </c>
      <c r="G206" s="4">
        <f t="shared" si="7"/>
        <v>33591</v>
      </c>
      <c r="H206" s="4"/>
      <c r="I206" s="4"/>
      <c r="J206" s="4"/>
    </row>
    <row r="207" spans="2:10" x14ac:dyDescent="0.25">
      <c r="B207" t="s">
        <v>0</v>
      </c>
      <c r="C207" t="s">
        <v>1</v>
      </c>
      <c r="D207" t="s">
        <v>170</v>
      </c>
      <c r="E207" t="s">
        <v>213</v>
      </c>
      <c r="F207" s="3">
        <v>47</v>
      </c>
      <c r="G207" s="4">
        <f t="shared" si="7"/>
        <v>33638</v>
      </c>
      <c r="H207" s="4"/>
      <c r="I207" s="4"/>
      <c r="J207" s="4"/>
    </row>
    <row r="208" spans="2:10" x14ac:dyDescent="0.25">
      <c r="B208" t="s">
        <v>0</v>
      </c>
      <c r="C208" t="s">
        <v>1</v>
      </c>
      <c r="D208" t="s">
        <v>170</v>
      </c>
      <c r="E208" t="s">
        <v>214</v>
      </c>
      <c r="F208" s="3">
        <v>210</v>
      </c>
      <c r="G208" s="4">
        <f t="shared" si="7"/>
        <v>33848</v>
      </c>
      <c r="H208" s="4"/>
      <c r="I208" s="4"/>
      <c r="J208" s="4"/>
    </row>
    <row r="209" spans="2:10" x14ac:dyDescent="0.25">
      <c r="B209" t="s">
        <v>0</v>
      </c>
      <c r="C209" t="s">
        <v>1</v>
      </c>
      <c r="D209" t="s">
        <v>170</v>
      </c>
      <c r="E209" t="s">
        <v>215</v>
      </c>
      <c r="F209" s="3">
        <v>73</v>
      </c>
      <c r="G209" s="4">
        <f t="shared" si="7"/>
        <v>33921</v>
      </c>
      <c r="H209" s="4"/>
      <c r="I209" s="4"/>
      <c r="J209" s="4"/>
    </row>
    <row r="210" spans="2:10" x14ac:dyDescent="0.25">
      <c r="B210" t="s">
        <v>0</v>
      </c>
      <c r="C210" t="s">
        <v>1</v>
      </c>
      <c r="D210" t="s">
        <v>170</v>
      </c>
      <c r="E210" t="s">
        <v>216</v>
      </c>
      <c r="F210" s="3">
        <v>213</v>
      </c>
      <c r="G210" s="4">
        <f t="shared" si="7"/>
        <v>34134</v>
      </c>
      <c r="H210" s="4"/>
      <c r="I210" s="4"/>
      <c r="J210" s="4"/>
    </row>
    <row r="211" spans="2:10" x14ac:dyDescent="0.25">
      <c r="B211" t="s">
        <v>0</v>
      </c>
      <c r="C211" t="s">
        <v>1</v>
      </c>
      <c r="D211" t="s">
        <v>170</v>
      </c>
      <c r="E211" t="s">
        <v>217</v>
      </c>
      <c r="F211" s="3">
        <v>95</v>
      </c>
      <c r="G211" s="4">
        <f t="shared" si="7"/>
        <v>34229</v>
      </c>
      <c r="H211" s="4"/>
      <c r="I211" s="4"/>
      <c r="J211" s="4"/>
    </row>
    <row r="212" spans="2:10" x14ac:dyDescent="0.25">
      <c r="B212" t="s">
        <v>0</v>
      </c>
      <c r="C212" t="s">
        <v>1</v>
      </c>
      <c r="D212" t="s">
        <v>170</v>
      </c>
      <c r="E212" t="s">
        <v>72</v>
      </c>
      <c r="F212" s="3">
        <v>206</v>
      </c>
      <c r="G212" s="4">
        <f t="shared" si="7"/>
        <v>34435</v>
      </c>
      <c r="H212" s="4"/>
      <c r="I212" s="4"/>
      <c r="J212" s="4"/>
    </row>
    <row r="213" spans="2:10" x14ac:dyDescent="0.25">
      <c r="B213" t="s">
        <v>0</v>
      </c>
      <c r="C213" t="s">
        <v>1</v>
      </c>
      <c r="D213" t="s">
        <v>170</v>
      </c>
      <c r="E213" t="s">
        <v>218</v>
      </c>
      <c r="F213" s="3">
        <v>99</v>
      </c>
      <c r="G213" s="4">
        <f t="shared" si="7"/>
        <v>34534</v>
      </c>
      <c r="H213" s="4"/>
      <c r="I213" s="4"/>
      <c r="J213" s="4"/>
    </row>
    <row r="214" spans="2:10" x14ac:dyDescent="0.25">
      <c r="B214" t="s">
        <v>0</v>
      </c>
      <c r="C214" t="s">
        <v>1</v>
      </c>
      <c r="D214" t="s">
        <v>170</v>
      </c>
      <c r="E214" t="s">
        <v>219</v>
      </c>
      <c r="F214" s="3">
        <v>110</v>
      </c>
      <c r="G214" s="4">
        <f t="shared" si="7"/>
        <v>34644</v>
      </c>
      <c r="H214" s="4"/>
      <c r="I214" s="4"/>
      <c r="J214" s="4"/>
    </row>
    <row r="215" spans="2:10" x14ac:dyDescent="0.25">
      <c r="B215" t="s">
        <v>0</v>
      </c>
      <c r="C215" t="s">
        <v>1</v>
      </c>
      <c r="D215" t="s">
        <v>170</v>
      </c>
      <c r="E215" t="s">
        <v>220</v>
      </c>
      <c r="F215" s="3">
        <v>91</v>
      </c>
      <c r="G215" s="4">
        <f t="shared" si="7"/>
        <v>34735</v>
      </c>
      <c r="H215" s="4"/>
      <c r="I215" s="4"/>
      <c r="J215" s="4"/>
    </row>
    <row r="216" spans="2:10" x14ac:dyDescent="0.25">
      <c r="B216" t="s">
        <v>0</v>
      </c>
      <c r="C216" t="s">
        <v>1</v>
      </c>
      <c r="D216" t="s">
        <v>170</v>
      </c>
      <c r="E216" t="s">
        <v>221</v>
      </c>
      <c r="F216" s="3">
        <v>268</v>
      </c>
      <c r="G216" s="4">
        <f t="shared" si="7"/>
        <v>35003</v>
      </c>
      <c r="H216" s="4"/>
      <c r="I216" s="4"/>
      <c r="J216" s="4"/>
    </row>
    <row r="217" spans="2:10" x14ac:dyDescent="0.25">
      <c r="B217" t="s">
        <v>0</v>
      </c>
      <c r="C217" t="s">
        <v>1</v>
      </c>
      <c r="D217" t="s">
        <v>170</v>
      </c>
      <c r="E217" t="s">
        <v>222</v>
      </c>
      <c r="F217" s="3">
        <v>132</v>
      </c>
      <c r="G217" s="4">
        <f t="shared" si="7"/>
        <v>35135</v>
      </c>
      <c r="H217" s="4"/>
      <c r="I217" s="4"/>
      <c r="J217" s="4"/>
    </row>
    <row r="218" spans="2:10" x14ac:dyDescent="0.25">
      <c r="B218" t="s">
        <v>0</v>
      </c>
      <c r="C218" t="s">
        <v>1</v>
      </c>
      <c r="D218" t="s">
        <v>170</v>
      </c>
      <c r="E218" t="s">
        <v>223</v>
      </c>
      <c r="F218" s="3">
        <v>326</v>
      </c>
      <c r="G218" s="4">
        <f t="shared" si="7"/>
        <v>35461</v>
      </c>
      <c r="H218" s="4"/>
      <c r="I218" s="4"/>
      <c r="J218" s="4"/>
    </row>
    <row r="219" spans="2:10" x14ac:dyDescent="0.25">
      <c r="B219" t="s">
        <v>0</v>
      </c>
      <c r="C219" t="s">
        <v>1</v>
      </c>
      <c r="D219" t="s">
        <v>170</v>
      </c>
      <c r="E219" t="s">
        <v>224</v>
      </c>
      <c r="F219" s="3">
        <v>309</v>
      </c>
      <c r="G219" s="4">
        <f t="shared" si="7"/>
        <v>35770</v>
      </c>
      <c r="H219" s="4"/>
      <c r="I219" s="4"/>
      <c r="J219" s="4"/>
    </row>
    <row r="220" spans="2:10" x14ac:dyDescent="0.25">
      <c r="B220" t="s">
        <v>0</v>
      </c>
      <c r="C220" t="s">
        <v>1</v>
      </c>
      <c r="D220" t="s">
        <v>225</v>
      </c>
      <c r="E220" t="s">
        <v>226</v>
      </c>
      <c r="F220" s="3">
        <v>212</v>
      </c>
      <c r="G220" s="4">
        <f t="shared" si="7"/>
        <v>35982</v>
      </c>
      <c r="H220" s="4"/>
      <c r="I220" s="4"/>
      <c r="J220" s="4"/>
    </row>
    <row r="221" spans="2:10" x14ac:dyDescent="0.25">
      <c r="B221" t="s">
        <v>0</v>
      </c>
      <c r="C221" t="s">
        <v>1</v>
      </c>
      <c r="D221" t="s">
        <v>225</v>
      </c>
      <c r="E221" t="s">
        <v>227</v>
      </c>
      <c r="F221" s="3">
        <v>77</v>
      </c>
      <c r="G221" s="4">
        <f t="shared" si="7"/>
        <v>36059</v>
      </c>
      <c r="H221" s="4"/>
      <c r="I221" s="4"/>
      <c r="J221" s="4"/>
    </row>
    <row r="222" spans="2:10" x14ac:dyDescent="0.25">
      <c r="B222" t="s">
        <v>0</v>
      </c>
      <c r="C222" t="s">
        <v>1</v>
      </c>
      <c r="D222" t="s">
        <v>225</v>
      </c>
      <c r="E222" t="s">
        <v>228</v>
      </c>
      <c r="F222" s="3">
        <v>75</v>
      </c>
      <c r="G222" s="4">
        <f t="shared" si="7"/>
        <v>36134</v>
      </c>
      <c r="H222" s="4"/>
      <c r="I222" s="4"/>
      <c r="J222" s="4"/>
    </row>
    <row r="223" spans="2:10" x14ac:dyDescent="0.25">
      <c r="B223" t="s">
        <v>0</v>
      </c>
      <c r="C223" t="s">
        <v>1</v>
      </c>
      <c r="D223" t="s">
        <v>225</v>
      </c>
      <c r="E223" t="s">
        <v>229</v>
      </c>
      <c r="F223" s="3">
        <v>241</v>
      </c>
      <c r="G223" s="4">
        <f t="shared" si="7"/>
        <v>36375</v>
      </c>
      <c r="H223" s="4"/>
      <c r="I223" s="4"/>
      <c r="J223" s="4"/>
    </row>
    <row r="224" spans="2:10" x14ac:dyDescent="0.25">
      <c r="B224" t="s">
        <v>0</v>
      </c>
      <c r="C224" t="s">
        <v>1</v>
      </c>
      <c r="D224" t="s">
        <v>225</v>
      </c>
      <c r="E224" t="s">
        <v>230</v>
      </c>
      <c r="F224" s="3">
        <v>5</v>
      </c>
      <c r="G224" s="4">
        <f t="shared" si="7"/>
        <v>36380</v>
      </c>
      <c r="H224" s="4"/>
      <c r="I224" s="4"/>
      <c r="J224" s="4"/>
    </row>
    <row r="225" spans="2:10" x14ac:dyDescent="0.25">
      <c r="B225" t="s">
        <v>0</v>
      </c>
      <c r="C225" t="s">
        <v>1</v>
      </c>
      <c r="D225" t="s">
        <v>225</v>
      </c>
      <c r="E225" t="s">
        <v>231</v>
      </c>
      <c r="F225" s="3">
        <v>265</v>
      </c>
      <c r="G225" s="4">
        <f t="shared" si="7"/>
        <v>36645</v>
      </c>
      <c r="H225" s="4"/>
      <c r="I225" s="4"/>
      <c r="J225" s="4"/>
    </row>
    <row r="226" spans="2:10" x14ac:dyDescent="0.25">
      <c r="B226" t="s">
        <v>0</v>
      </c>
      <c r="C226" t="s">
        <v>1</v>
      </c>
      <c r="D226" t="s">
        <v>225</v>
      </c>
      <c r="E226" t="s">
        <v>232</v>
      </c>
      <c r="F226" s="3">
        <v>197</v>
      </c>
      <c r="G226" s="4">
        <f t="shared" si="7"/>
        <v>36842</v>
      </c>
      <c r="H226" s="4"/>
      <c r="I226" s="4"/>
      <c r="J226" s="4"/>
    </row>
    <row r="227" spans="2:10" x14ac:dyDescent="0.25">
      <c r="B227" t="s">
        <v>0</v>
      </c>
      <c r="C227" t="s">
        <v>1</v>
      </c>
      <c r="D227" t="s">
        <v>225</v>
      </c>
      <c r="E227" t="s">
        <v>233</v>
      </c>
      <c r="F227" s="3">
        <v>30</v>
      </c>
      <c r="G227" s="4">
        <f t="shared" si="7"/>
        <v>36872</v>
      </c>
      <c r="H227" s="4"/>
      <c r="I227" s="4"/>
      <c r="J227" s="4"/>
    </row>
    <row r="228" spans="2:10" x14ac:dyDescent="0.25">
      <c r="B228" t="s">
        <v>0</v>
      </c>
      <c r="C228" t="s">
        <v>1</v>
      </c>
      <c r="D228" t="s">
        <v>225</v>
      </c>
      <c r="E228" t="s">
        <v>234</v>
      </c>
      <c r="F228" s="3">
        <v>90</v>
      </c>
      <c r="G228" s="4">
        <f t="shared" si="7"/>
        <v>36962</v>
      </c>
      <c r="H228" s="4"/>
      <c r="I228" s="4"/>
      <c r="J228" s="4"/>
    </row>
    <row r="229" spans="2:10" x14ac:dyDescent="0.25">
      <c r="B229" t="s">
        <v>0</v>
      </c>
      <c r="C229" t="s">
        <v>1</v>
      </c>
      <c r="D229" t="s">
        <v>225</v>
      </c>
      <c r="E229" t="s">
        <v>235</v>
      </c>
      <c r="F229" s="3">
        <v>154</v>
      </c>
      <c r="G229" s="4">
        <f t="shared" si="7"/>
        <v>37116</v>
      </c>
      <c r="H229" s="4"/>
      <c r="I229" s="4"/>
      <c r="J229" s="4"/>
    </row>
    <row r="230" spans="2:10" x14ac:dyDescent="0.25">
      <c r="B230" t="s">
        <v>0</v>
      </c>
      <c r="C230" t="s">
        <v>1</v>
      </c>
      <c r="D230" t="s">
        <v>225</v>
      </c>
      <c r="E230" t="s">
        <v>236</v>
      </c>
      <c r="F230" s="3">
        <v>56</v>
      </c>
      <c r="G230" s="4">
        <f t="shared" si="7"/>
        <v>37172</v>
      </c>
      <c r="H230" s="4"/>
      <c r="I230" s="4"/>
      <c r="J230" s="4"/>
    </row>
    <row r="231" spans="2:10" x14ac:dyDescent="0.25">
      <c r="B231" t="s">
        <v>0</v>
      </c>
      <c r="C231" t="s">
        <v>1</v>
      </c>
      <c r="D231" t="s">
        <v>225</v>
      </c>
      <c r="E231" t="s">
        <v>237</v>
      </c>
      <c r="F231" s="3">
        <v>258</v>
      </c>
      <c r="G231" s="4">
        <f t="shared" si="7"/>
        <v>37430</v>
      </c>
      <c r="H231" s="4"/>
      <c r="I231" s="4"/>
      <c r="J231" s="4"/>
    </row>
    <row r="232" spans="2:10" x14ac:dyDescent="0.25">
      <c r="B232" t="s">
        <v>0</v>
      </c>
      <c r="C232" t="s">
        <v>1</v>
      </c>
      <c r="D232" t="s">
        <v>225</v>
      </c>
      <c r="E232" t="s">
        <v>238</v>
      </c>
      <c r="F232" s="3">
        <v>421</v>
      </c>
      <c r="G232" s="4">
        <f t="shared" si="7"/>
        <v>37851</v>
      </c>
      <c r="H232" s="4"/>
      <c r="I232" s="4"/>
      <c r="J232" s="4"/>
    </row>
    <row r="233" spans="2:10" x14ac:dyDescent="0.25">
      <c r="B233" t="s">
        <v>0</v>
      </c>
      <c r="C233" t="s">
        <v>1</v>
      </c>
      <c r="D233" t="s">
        <v>225</v>
      </c>
      <c r="E233" t="s">
        <v>239</v>
      </c>
      <c r="F233" s="3">
        <v>91</v>
      </c>
      <c r="G233" s="4">
        <f t="shared" si="7"/>
        <v>37942</v>
      </c>
      <c r="H233" s="4"/>
      <c r="I233" s="4"/>
      <c r="J233" s="4"/>
    </row>
    <row r="234" spans="2:10" x14ac:dyDescent="0.25">
      <c r="B234" t="s">
        <v>0</v>
      </c>
      <c r="C234" t="s">
        <v>1</v>
      </c>
      <c r="D234" t="s">
        <v>225</v>
      </c>
      <c r="E234" t="s">
        <v>240</v>
      </c>
      <c r="F234" s="3">
        <v>236</v>
      </c>
      <c r="G234" s="4">
        <f t="shared" si="7"/>
        <v>38178</v>
      </c>
      <c r="H234" s="4"/>
      <c r="I234" s="4"/>
      <c r="J234" s="4"/>
    </row>
    <row r="235" spans="2:10" x14ac:dyDescent="0.25">
      <c r="B235" t="s">
        <v>0</v>
      </c>
      <c r="C235" t="s">
        <v>1</v>
      </c>
      <c r="D235" t="s">
        <v>225</v>
      </c>
      <c r="E235" t="s">
        <v>241</v>
      </c>
      <c r="F235" s="3">
        <v>77</v>
      </c>
      <c r="G235" s="4">
        <f t="shared" si="7"/>
        <v>38255</v>
      </c>
      <c r="H235" s="4"/>
      <c r="I235" s="4"/>
      <c r="J235" s="4"/>
    </row>
    <row r="236" spans="2:10" x14ac:dyDescent="0.25">
      <c r="B236" t="s">
        <v>0</v>
      </c>
      <c r="C236" t="s">
        <v>1</v>
      </c>
      <c r="D236" t="s">
        <v>225</v>
      </c>
      <c r="E236" t="s">
        <v>242</v>
      </c>
      <c r="F236" s="3">
        <v>248</v>
      </c>
      <c r="G236" s="4">
        <f t="shared" si="7"/>
        <v>38503</v>
      </c>
      <c r="H236" s="4"/>
      <c r="I236" s="4"/>
      <c r="J236" s="4"/>
    </row>
    <row r="237" spans="2:10" x14ac:dyDescent="0.25">
      <c r="B237" t="s">
        <v>0</v>
      </c>
      <c r="C237" t="s">
        <v>1</v>
      </c>
      <c r="D237" t="s">
        <v>225</v>
      </c>
      <c r="E237" t="s">
        <v>243</v>
      </c>
      <c r="F237" s="3">
        <v>322</v>
      </c>
      <c r="G237" s="4">
        <f t="shared" si="7"/>
        <v>38825</v>
      </c>
      <c r="H237" s="4"/>
      <c r="I237" s="4"/>
      <c r="J237" s="4"/>
    </row>
    <row r="238" spans="2:10" x14ac:dyDescent="0.25">
      <c r="B238" t="s">
        <v>0</v>
      </c>
      <c r="C238" t="s">
        <v>1</v>
      </c>
      <c r="D238" t="s">
        <v>225</v>
      </c>
      <c r="E238" t="s">
        <v>244</v>
      </c>
      <c r="F238" s="3">
        <v>230</v>
      </c>
      <c r="G238" s="4">
        <f t="shared" si="7"/>
        <v>39055</v>
      </c>
      <c r="H238" s="4"/>
      <c r="I238" s="4"/>
      <c r="J238" s="4"/>
    </row>
    <row r="239" spans="2:10" x14ac:dyDescent="0.25">
      <c r="B239" t="s">
        <v>0</v>
      </c>
      <c r="C239" t="s">
        <v>1</v>
      </c>
      <c r="D239" t="s">
        <v>225</v>
      </c>
      <c r="E239" t="s">
        <v>245</v>
      </c>
      <c r="F239" s="3">
        <v>445</v>
      </c>
      <c r="G239" s="4">
        <f t="shared" si="7"/>
        <v>39500</v>
      </c>
      <c r="H239" s="4"/>
      <c r="I239" s="4"/>
      <c r="J239" s="4"/>
    </row>
    <row r="240" spans="2:10" x14ac:dyDescent="0.25">
      <c r="B240" t="s">
        <v>0</v>
      </c>
      <c r="C240" t="s">
        <v>1</v>
      </c>
      <c r="D240" t="s">
        <v>225</v>
      </c>
      <c r="E240" t="s">
        <v>246</v>
      </c>
      <c r="F240" s="3">
        <v>201</v>
      </c>
      <c r="G240" s="4">
        <f t="shared" si="7"/>
        <v>39701</v>
      </c>
      <c r="H240" s="4"/>
      <c r="I240" s="4"/>
      <c r="J240" s="4"/>
    </row>
    <row r="241" spans="2:10" x14ac:dyDescent="0.25">
      <c r="B241" t="s">
        <v>0</v>
      </c>
      <c r="C241" t="s">
        <v>1</v>
      </c>
      <c r="D241" t="s">
        <v>225</v>
      </c>
      <c r="E241" t="s">
        <v>247</v>
      </c>
      <c r="F241" s="3">
        <v>238</v>
      </c>
      <c r="G241" s="4">
        <f t="shared" si="7"/>
        <v>39939</v>
      </c>
      <c r="H241" s="4"/>
      <c r="I241" s="4"/>
      <c r="J241" s="4"/>
    </row>
    <row r="242" spans="2:10" x14ac:dyDescent="0.25">
      <c r="B242" t="s">
        <v>0</v>
      </c>
      <c r="C242" t="s">
        <v>1</v>
      </c>
      <c r="D242" t="s">
        <v>225</v>
      </c>
      <c r="E242" t="s">
        <v>248</v>
      </c>
      <c r="F242" s="3">
        <v>144</v>
      </c>
      <c r="G242" s="4">
        <f t="shared" si="7"/>
        <v>40083</v>
      </c>
      <c r="H242" s="4"/>
      <c r="I242" s="4"/>
      <c r="J242" s="4"/>
    </row>
    <row r="243" spans="2:10" x14ac:dyDescent="0.25">
      <c r="B243" t="s">
        <v>0</v>
      </c>
      <c r="C243" t="s">
        <v>1</v>
      </c>
      <c r="D243" t="s">
        <v>225</v>
      </c>
      <c r="E243" t="s">
        <v>249</v>
      </c>
      <c r="F243" s="3">
        <v>348</v>
      </c>
      <c r="G243" s="4">
        <f t="shared" si="7"/>
        <v>40431</v>
      </c>
      <c r="H243" s="4"/>
      <c r="I243" s="4"/>
      <c r="J243" s="4"/>
    </row>
    <row r="244" spans="2:10" x14ac:dyDescent="0.25">
      <c r="B244" t="s">
        <v>0</v>
      </c>
      <c r="C244" t="s">
        <v>1</v>
      </c>
      <c r="D244" t="s">
        <v>225</v>
      </c>
      <c r="E244" t="s">
        <v>250</v>
      </c>
      <c r="F244" s="3">
        <v>69</v>
      </c>
      <c r="G244" s="4">
        <f t="shared" si="7"/>
        <v>40500</v>
      </c>
      <c r="H244" s="4"/>
      <c r="I244" s="4"/>
      <c r="J244" s="4"/>
    </row>
    <row r="245" spans="2:10" x14ac:dyDescent="0.25">
      <c r="B245" t="s">
        <v>0</v>
      </c>
      <c r="C245" t="s">
        <v>1</v>
      </c>
      <c r="D245" t="s">
        <v>225</v>
      </c>
      <c r="E245" t="s">
        <v>251</v>
      </c>
      <c r="F245" s="3">
        <v>134</v>
      </c>
      <c r="G245" s="4">
        <f t="shared" si="7"/>
        <v>40634</v>
      </c>
      <c r="H245" s="4"/>
      <c r="I245" s="4"/>
      <c r="J245" s="4"/>
    </row>
    <row r="246" spans="2:10" x14ac:dyDescent="0.25">
      <c r="B246" t="s">
        <v>0</v>
      </c>
      <c r="C246" t="s">
        <v>1</v>
      </c>
      <c r="D246" t="s">
        <v>225</v>
      </c>
      <c r="E246" t="s">
        <v>252</v>
      </c>
      <c r="F246" s="3">
        <v>255</v>
      </c>
      <c r="G246" s="4">
        <f t="shared" si="7"/>
        <v>40889</v>
      </c>
      <c r="H246" s="4"/>
      <c r="I246" s="4"/>
      <c r="J246" s="4"/>
    </row>
    <row r="247" spans="2:10" x14ac:dyDescent="0.25">
      <c r="B247" t="s">
        <v>0</v>
      </c>
      <c r="C247" t="s">
        <v>1</v>
      </c>
      <c r="D247" t="s">
        <v>225</v>
      </c>
      <c r="E247" t="s">
        <v>253</v>
      </c>
      <c r="F247" s="3">
        <v>97</v>
      </c>
      <c r="G247" s="4">
        <f t="shared" si="7"/>
        <v>40986</v>
      </c>
      <c r="H247" s="4"/>
      <c r="I247" s="4"/>
      <c r="J247" s="4"/>
    </row>
    <row r="248" spans="2:10" x14ac:dyDescent="0.25">
      <c r="B248" t="s">
        <v>0</v>
      </c>
      <c r="C248" t="s">
        <v>1</v>
      </c>
      <c r="D248" t="s">
        <v>225</v>
      </c>
      <c r="E248" t="s">
        <v>254</v>
      </c>
      <c r="F248" s="3">
        <v>46</v>
      </c>
      <c r="G248" s="4">
        <f t="shared" si="7"/>
        <v>41032</v>
      </c>
      <c r="H248" s="4"/>
      <c r="I248" s="4"/>
      <c r="J248" s="4"/>
    </row>
    <row r="249" spans="2:10" x14ac:dyDescent="0.25">
      <c r="B249" t="s">
        <v>0</v>
      </c>
      <c r="C249" t="s">
        <v>1</v>
      </c>
      <c r="D249" t="s">
        <v>225</v>
      </c>
      <c r="E249" t="s">
        <v>255</v>
      </c>
      <c r="F249" s="3">
        <v>119</v>
      </c>
      <c r="G249" s="4">
        <f t="shared" si="7"/>
        <v>41151</v>
      </c>
      <c r="H249" s="4"/>
      <c r="I249" s="4"/>
      <c r="J249" s="4"/>
    </row>
    <row r="250" spans="2:10" x14ac:dyDescent="0.25">
      <c r="B250" t="s">
        <v>0</v>
      </c>
      <c r="C250" t="s">
        <v>1</v>
      </c>
      <c r="D250" t="s">
        <v>225</v>
      </c>
      <c r="E250" t="s">
        <v>256</v>
      </c>
      <c r="F250" s="3">
        <v>169</v>
      </c>
      <c r="G250" s="4">
        <f t="shared" si="7"/>
        <v>41320</v>
      </c>
      <c r="H250" s="4"/>
      <c r="I250" s="4"/>
      <c r="J250" s="4"/>
    </row>
    <row r="251" spans="2:10" x14ac:dyDescent="0.25">
      <c r="B251" t="s">
        <v>0</v>
      </c>
      <c r="C251" t="s">
        <v>1</v>
      </c>
      <c r="D251" t="s">
        <v>225</v>
      </c>
      <c r="E251" t="s">
        <v>257</v>
      </c>
      <c r="F251" s="3">
        <v>444</v>
      </c>
      <c r="G251" s="4">
        <f t="shared" si="7"/>
        <v>41764</v>
      </c>
      <c r="H251" s="4"/>
      <c r="I251" s="4"/>
      <c r="J251" s="4"/>
    </row>
    <row r="252" spans="2:10" x14ac:dyDescent="0.25">
      <c r="B252" t="s">
        <v>0</v>
      </c>
      <c r="C252" t="s">
        <v>1</v>
      </c>
      <c r="D252" t="s">
        <v>225</v>
      </c>
      <c r="E252" t="s">
        <v>258</v>
      </c>
      <c r="F252" s="3">
        <v>338</v>
      </c>
      <c r="G252" s="4">
        <f t="shared" si="7"/>
        <v>42102</v>
      </c>
      <c r="H252" s="4"/>
      <c r="I252" s="4"/>
      <c r="J252" s="4"/>
    </row>
    <row r="253" spans="2:10" x14ac:dyDescent="0.25">
      <c r="B253" t="s">
        <v>0</v>
      </c>
      <c r="C253" t="s">
        <v>1</v>
      </c>
      <c r="D253" t="s">
        <v>225</v>
      </c>
      <c r="E253" t="s">
        <v>259</v>
      </c>
      <c r="F253" s="3">
        <v>298</v>
      </c>
      <c r="G253" s="4">
        <f t="shared" si="7"/>
        <v>42400</v>
      </c>
      <c r="H253" s="4"/>
      <c r="I253" s="4"/>
      <c r="J253" s="4"/>
    </row>
    <row r="254" spans="2:10" x14ac:dyDescent="0.25">
      <c r="B254" t="s">
        <v>0</v>
      </c>
      <c r="C254" t="s">
        <v>1</v>
      </c>
      <c r="D254" t="s">
        <v>225</v>
      </c>
      <c r="E254" t="s">
        <v>260</v>
      </c>
      <c r="F254" s="3">
        <v>327</v>
      </c>
      <c r="G254" s="4">
        <f t="shared" si="7"/>
        <v>42727</v>
      </c>
      <c r="H254" s="4"/>
      <c r="I254" s="4"/>
      <c r="J254" s="4"/>
    </row>
    <row r="255" spans="2:10" x14ac:dyDescent="0.25">
      <c r="B255" t="s">
        <v>0</v>
      </c>
      <c r="C255" t="s">
        <v>1</v>
      </c>
      <c r="D255" t="s">
        <v>225</v>
      </c>
      <c r="E255" t="s">
        <v>261</v>
      </c>
      <c r="F255" s="3">
        <v>104</v>
      </c>
      <c r="G255" s="4">
        <f t="shared" si="7"/>
        <v>42831</v>
      </c>
      <c r="H255" s="4"/>
      <c r="I255" s="4"/>
      <c r="J255" s="4"/>
    </row>
    <row r="256" spans="2:10" x14ac:dyDescent="0.25">
      <c r="B256" t="s">
        <v>0</v>
      </c>
      <c r="C256" t="s">
        <v>1</v>
      </c>
      <c r="D256" t="s">
        <v>225</v>
      </c>
      <c r="E256" t="s">
        <v>262</v>
      </c>
      <c r="F256" s="3">
        <v>117</v>
      </c>
      <c r="G256" s="4">
        <f t="shared" si="7"/>
        <v>42948</v>
      </c>
      <c r="H256" s="4"/>
      <c r="I256" s="4"/>
      <c r="J256" s="4"/>
    </row>
    <row r="257" spans="2:10" x14ac:dyDescent="0.25">
      <c r="B257" t="s">
        <v>0</v>
      </c>
      <c r="C257" t="s">
        <v>1</v>
      </c>
      <c r="D257" t="s">
        <v>225</v>
      </c>
      <c r="E257" t="s">
        <v>263</v>
      </c>
      <c r="F257" s="3">
        <v>37</v>
      </c>
      <c r="G257" s="4">
        <f t="shared" si="7"/>
        <v>42985</v>
      </c>
      <c r="H257" s="4"/>
      <c r="I257" s="4"/>
      <c r="J257" s="4"/>
    </row>
    <row r="258" spans="2:10" x14ac:dyDescent="0.25">
      <c r="B258" t="s">
        <v>0</v>
      </c>
      <c r="C258" t="s">
        <v>1</v>
      </c>
      <c r="D258" t="s">
        <v>225</v>
      </c>
      <c r="E258" t="s">
        <v>264</v>
      </c>
      <c r="F258" s="3">
        <v>30</v>
      </c>
      <c r="G258" s="4">
        <f t="shared" si="7"/>
        <v>43015</v>
      </c>
      <c r="H258" s="4"/>
      <c r="I258" s="4"/>
      <c r="J258" s="4"/>
    </row>
    <row r="259" spans="2:10" x14ac:dyDescent="0.25">
      <c r="B259" t="s">
        <v>0</v>
      </c>
      <c r="C259" t="s">
        <v>1</v>
      </c>
      <c r="D259" t="s">
        <v>225</v>
      </c>
      <c r="E259" t="s">
        <v>265</v>
      </c>
      <c r="F259" s="3">
        <v>178</v>
      </c>
      <c r="G259" s="4">
        <f t="shared" si="7"/>
        <v>43193</v>
      </c>
      <c r="H259" s="4"/>
      <c r="I259" s="4"/>
      <c r="J259" s="4"/>
    </row>
    <row r="260" spans="2:10" x14ac:dyDescent="0.25">
      <c r="B260" t="s">
        <v>0</v>
      </c>
      <c r="C260" t="s">
        <v>1</v>
      </c>
      <c r="D260" t="s">
        <v>225</v>
      </c>
      <c r="E260" t="s">
        <v>266</v>
      </c>
      <c r="F260" s="3">
        <v>205</v>
      </c>
      <c r="G260" s="4">
        <f t="shared" ref="G260:G274" si="8">G259+F260</f>
        <v>43398</v>
      </c>
      <c r="H260" s="4"/>
      <c r="I260" s="4"/>
      <c r="J260" s="4"/>
    </row>
    <row r="261" spans="2:10" x14ac:dyDescent="0.25">
      <c r="B261" t="s">
        <v>0</v>
      </c>
      <c r="C261" t="s">
        <v>1</v>
      </c>
      <c r="D261" t="s">
        <v>225</v>
      </c>
      <c r="E261" t="s">
        <v>267</v>
      </c>
      <c r="F261" s="3">
        <v>19</v>
      </c>
      <c r="G261" s="4">
        <f t="shared" si="8"/>
        <v>43417</v>
      </c>
      <c r="H261" s="4"/>
      <c r="I261" s="4"/>
      <c r="J261" s="4"/>
    </row>
    <row r="262" spans="2:10" x14ac:dyDescent="0.25">
      <c r="B262" t="s">
        <v>0</v>
      </c>
      <c r="C262" t="s">
        <v>1</v>
      </c>
      <c r="D262" t="s">
        <v>225</v>
      </c>
      <c r="E262" t="s">
        <v>268</v>
      </c>
      <c r="F262" s="3">
        <v>236</v>
      </c>
      <c r="G262" s="4">
        <f t="shared" si="8"/>
        <v>43653</v>
      </c>
      <c r="H262" s="4"/>
      <c r="I262" s="4"/>
      <c r="J262" s="4"/>
    </row>
    <row r="263" spans="2:10" x14ac:dyDescent="0.25">
      <c r="B263" t="s">
        <v>0</v>
      </c>
      <c r="C263" t="s">
        <v>1</v>
      </c>
      <c r="D263" t="s">
        <v>225</v>
      </c>
      <c r="E263" t="s">
        <v>269</v>
      </c>
      <c r="F263" s="3">
        <v>162</v>
      </c>
      <c r="G263" s="4">
        <f t="shared" si="8"/>
        <v>43815</v>
      </c>
      <c r="H263" s="4"/>
      <c r="I263" s="4"/>
      <c r="J263" s="4"/>
    </row>
    <row r="264" spans="2:10" x14ac:dyDescent="0.25">
      <c r="B264" t="s">
        <v>0</v>
      </c>
      <c r="C264" t="s">
        <v>1</v>
      </c>
      <c r="D264" t="s">
        <v>225</v>
      </c>
      <c r="E264" t="s">
        <v>270</v>
      </c>
      <c r="F264" s="3">
        <v>240</v>
      </c>
      <c r="G264" s="4">
        <f t="shared" si="8"/>
        <v>44055</v>
      </c>
      <c r="H264" s="4"/>
      <c r="I264" s="4"/>
      <c r="J264" s="4"/>
    </row>
    <row r="265" spans="2:10" x14ac:dyDescent="0.25">
      <c r="B265" t="s">
        <v>0</v>
      </c>
      <c r="C265" t="s">
        <v>1</v>
      </c>
      <c r="D265" t="s">
        <v>225</v>
      </c>
      <c r="E265" t="s">
        <v>271</v>
      </c>
      <c r="F265" s="3">
        <v>27</v>
      </c>
      <c r="G265" s="4">
        <f t="shared" si="8"/>
        <v>44082</v>
      </c>
      <c r="H265" s="4"/>
      <c r="I265" s="4"/>
      <c r="J265" s="4"/>
    </row>
    <row r="266" spans="2:10" x14ac:dyDescent="0.25">
      <c r="B266" t="s">
        <v>0</v>
      </c>
      <c r="C266" t="s">
        <v>1</v>
      </c>
      <c r="D266" t="s">
        <v>225</v>
      </c>
      <c r="E266" t="s">
        <v>272</v>
      </c>
      <c r="F266" s="3">
        <v>119</v>
      </c>
      <c r="G266" s="4">
        <f t="shared" si="8"/>
        <v>44201</v>
      </c>
      <c r="H266" s="4"/>
      <c r="I266" s="4"/>
      <c r="J266" s="4"/>
    </row>
    <row r="267" spans="2:10" x14ac:dyDescent="0.25">
      <c r="B267" t="s">
        <v>0</v>
      </c>
      <c r="C267" t="s">
        <v>1</v>
      </c>
      <c r="D267" t="s">
        <v>225</v>
      </c>
      <c r="E267" t="s">
        <v>273</v>
      </c>
      <c r="F267" s="3">
        <v>130</v>
      </c>
      <c r="G267" s="4">
        <f t="shared" si="8"/>
        <v>44331</v>
      </c>
      <c r="H267" s="4"/>
      <c r="I267" s="4"/>
      <c r="J267" s="4"/>
    </row>
    <row r="268" spans="2:10" x14ac:dyDescent="0.25">
      <c r="B268" t="s">
        <v>0</v>
      </c>
      <c r="C268" t="s">
        <v>1</v>
      </c>
      <c r="D268" t="s">
        <v>225</v>
      </c>
      <c r="E268" t="s">
        <v>274</v>
      </c>
      <c r="F268" s="3">
        <v>102</v>
      </c>
      <c r="G268" s="4">
        <f t="shared" si="8"/>
        <v>44433</v>
      </c>
      <c r="H268" s="4"/>
      <c r="I268" s="4"/>
      <c r="J268" s="4"/>
    </row>
    <row r="269" spans="2:10" x14ac:dyDescent="0.25">
      <c r="B269" t="s">
        <v>0</v>
      </c>
      <c r="C269" t="s">
        <v>1</v>
      </c>
      <c r="D269" t="s">
        <v>225</v>
      </c>
      <c r="E269" t="s">
        <v>275</v>
      </c>
      <c r="F269" s="3">
        <v>57</v>
      </c>
      <c r="G269" s="4">
        <f t="shared" si="8"/>
        <v>44490</v>
      </c>
      <c r="H269" s="4"/>
      <c r="I269" s="4"/>
      <c r="J269" s="4"/>
    </row>
    <row r="270" spans="2:10" x14ac:dyDescent="0.25">
      <c r="B270" t="s">
        <v>0</v>
      </c>
      <c r="C270" t="s">
        <v>1</v>
      </c>
      <c r="D270" t="s">
        <v>225</v>
      </c>
      <c r="E270" t="s">
        <v>276</v>
      </c>
      <c r="F270" s="3">
        <v>79</v>
      </c>
      <c r="G270" s="4">
        <f t="shared" si="8"/>
        <v>44569</v>
      </c>
      <c r="H270" s="4"/>
      <c r="I270" s="4"/>
      <c r="J270" s="4"/>
    </row>
    <row r="271" spans="2:10" x14ac:dyDescent="0.25">
      <c r="B271" t="s">
        <v>0</v>
      </c>
      <c r="C271" t="s">
        <v>1</v>
      </c>
      <c r="D271" t="s">
        <v>225</v>
      </c>
      <c r="E271" t="s">
        <v>277</v>
      </c>
      <c r="F271" s="3">
        <v>266</v>
      </c>
      <c r="G271" s="4">
        <f t="shared" si="8"/>
        <v>44835</v>
      </c>
      <c r="H271" s="4"/>
      <c r="I271" s="4"/>
      <c r="J271" s="4"/>
    </row>
    <row r="272" spans="2:10" x14ac:dyDescent="0.25">
      <c r="B272" t="s">
        <v>0</v>
      </c>
      <c r="C272" t="s">
        <v>1</v>
      </c>
      <c r="D272" t="s">
        <v>225</v>
      </c>
      <c r="E272" t="s">
        <v>278</v>
      </c>
      <c r="F272" s="3">
        <v>47</v>
      </c>
      <c r="G272" s="4">
        <f t="shared" si="8"/>
        <v>44882</v>
      </c>
      <c r="H272" s="4"/>
      <c r="I272" s="4"/>
      <c r="J272" s="4"/>
    </row>
    <row r="273" spans="2:10" x14ac:dyDescent="0.25">
      <c r="B273" t="s">
        <v>0</v>
      </c>
      <c r="C273" t="s">
        <v>1</v>
      </c>
      <c r="D273" t="s">
        <v>225</v>
      </c>
      <c r="E273" t="s">
        <v>43</v>
      </c>
      <c r="F273" s="3">
        <v>337</v>
      </c>
      <c r="G273" s="4">
        <f t="shared" si="8"/>
        <v>45219</v>
      </c>
      <c r="H273" s="4"/>
      <c r="I273" s="4"/>
      <c r="J273" s="4"/>
    </row>
    <row r="274" spans="2:10" x14ac:dyDescent="0.25">
      <c r="B274" t="s">
        <v>0</v>
      </c>
      <c r="C274" t="s">
        <v>1</v>
      </c>
      <c r="D274" t="s">
        <v>225</v>
      </c>
      <c r="E274" t="s">
        <v>279</v>
      </c>
      <c r="F274" s="3">
        <v>33</v>
      </c>
      <c r="G274" s="4">
        <f t="shared" si="8"/>
        <v>45252</v>
      </c>
      <c r="H274" s="4"/>
      <c r="I274" s="4"/>
      <c r="J274" s="4"/>
    </row>
  </sheetData>
  <mergeCells count="2">
    <mergeCell ref="N11:Q11"/>
    <mergeCell ref="K11:M1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09498-C4AC-47FA-9E49-EB36D7A70932}">
  <dimension ref="B1:Q274"/>
  <sheetViews>
    <sheetView zoomScaleNormal="100" workbookViewId="0"/>
  </sheetViews>
  <sheetFormatPr defaultRowHeight="15" x14ac:dyDescent="0.25"/>
  <cols>
    <col min="1" max="1" width="2.85546875" customWidth="1"/>
    <col min="2" max="2" width="12" customWidth="1"/>
    <col min="4" max="4" width="14" bestFit="1" customWidth="1"/>
    <col min="5" max="5" width="23.28515625" bestFit="1" customWidth="1"/>
    <col min="6" max="7" width="11.42578125" customWidth="1"/>
    <col min="8" max="10" width="14" customWidth="1"/>
    <col min="11" max="11" width="22.85546875" bestFit="1" customWidth="1"/>
    <col min="12" max="12" width="15.28515625" customWidth="1"/>
    <col min="13" max="14" width="12.42578125" customWidth="1"/>
    <col min="15" max="15" width="14" bestFit="1" customWidth="1"/>
    <col min="16" max="16" width="19.140625" bestFit="1" customWidth="1"/>
    <col min="17" max="17" width="15.42578125" customWidth="1"/>
  </cols>
  <sheetData>
    <row r="1" spans="2:17" ht="15.75" thickBot="1" x14ac:dyDescent="0.3"/>
    <row r="2" spans="2:17" ht="46.5" thickTop="1" thickBot="1" x14ac:dyDescent="0.3">
      <c r="B2" s="14" t="s">
        <v>284</v>
      </c>
      <c r="C2" s="15" t="s">
        <v>285</v>
      </c>
      <c r="D2" s="16" t="s">
        <v>283</v>
      </c>
      <c r="E2" s="15" t="s">
        <v>286</v>
      </c>
      <c r="F2" s="15" t="s">
        <v>287</v>
      </c>
      <c r="G2" s="17" t="s">
        <v>282</v>
      </c>
      <c r="H2" s="7"/>
      <c r="I2" s="7"/>
      <c r="J2" s="7"/>
    </row>
    <row r="3" spans="2:17" ht="15.75" thickTop="1" x14ac:dyDescent="0.25">
      <c r="F3" s="3"/>
      <c r="G3" s="4"/>
      <c r="H3" s="4"/>
      <c r="I3" s="4"/>
      <c r="J3" s="4"/>
      <c r="O3" s="2"/>
    </row>
    <row r="4" spans="2:17" x14ac:dyDescent="0.25">
      <c r="F4" s="3"/>
      <c r="G4" s="4"/>
      <c r="H4" s="4"/>
      <c r="I4" s="4"/>
      <c r="J4" s="4"/>
      <c r="K4" s="8" t="s">
        <v>288</v>
      </c>
      <c r="L4" s="1"/>
      <c r="M4" s="2"/>
      <c r="N4" s="2"/>
      <c r="P4" s="2"/>
      <c r="Q4" s="2"/>
    </row>
    <row r="5" spans="2:17" ht="15.75" thickBot="1" x14ac:dyDescent="0.3">
      <c r="F5" s="3"/>
      <c r="G5" s="4"/>
      <c r="H5" s="4"/>
      <c r="I5" s="4"/>
      <c r="J5" s="4"/>
      <c r="K5" s="9" t="s">
        <v>6</v>
      </c>
      <c r="L5" s="12" t="str">
        <f>IF(G3&lt;&gt;"",MAX(G:G),"")</f>
        <v/>
      </c>
      <c r="M5" s="2"/>
      <c r="N5" s="2"/>
      <c r="O5" s="2"/>
      <c r="P5" s="2"/>
      <c r="Q5" s="2"/>
    </row>
    <row r="6" spans="2:17" ht="16.5" thickTop="1" thickBot="1" x14ac:dyDescent="0.3">
      <c r="F6" s="3"/>
      <c r="G6" s="4"/>
      <c r="H6" s="4"/>
      <c r="I6" s="4"/>
      <c r="J6" s="4"/>
      <c r="K6" s="9" t="s">
        <v>8</v>
      </c>
      <c r="L6" s="19">
        <v>6</v>
      </c>
      <c r="M6" s="2"/>
      <c r="N6" s="2"/>
      <c r="O6" s="2"/>
      <c r="P6" s="2"/>
      <c r="Q6" s="2"/>
    </row>
    <row r="7" spans="2:17" ht="15.75" thickTop="1" x14ac:dyDescent="0.25">
      <c r="F7" s="3"/>
      <c r="G7" s="4"/>
      <c r="H7" s="4"/>
      <c r="I7" s="4"/>
      <c r="J7" s="4"/>
      <c r="K7" s="10" t="s">
        <v>10</v>
      </c>
      <c r="L7" s="18" t="str">
        <f>IF(L5&lt;&gt;"",ROUND(L5/L6,0),"")</f>
        <v/>
      </c>
      <c r="M7" s="2"/>
      <c r="N7" s="2"/>
      <c r="O7" s="2"/>
      <c r="P7" s="2"/>
      <c r="Q7" s="2"/>
    </row>
    <row r="8" spans="2:17" ht="15.75" thickBot="1" x14ac:dyDescent="0.3">
      <c r="F8" s="3"/>
      <c r="G8" s="4"/>
      <c r="H8" s="4"/>
      <c r="I8" s="4"/>
      <c r="J8" s="4"/>
      <c r="K8" s="9" t="s">
        <v>280</v>
      </c>
      <c r="L8" s="13" t="str">
        <f ca="1">IF(L7="","",RANDBETWEEN(1,L7))</f>
        <v/>
      </c>
      <c r="M8" s="2"/>
      <c r="N8" s="2"/>
      <c r="O8" s="2"/>
      <c r="P8" s="2"/>
      <c r="Q8" s="2"/>
    </row>
    <row r="9" spans="2:17" ht="16.5" thickTop="1" thickBot="1" x14ac:dyDescent="0.3">
      <c r="F9" s="3"/>
      <c r="G9" s="4"/>
      <c r="H9" s="4"/>
      <c r="I9" s="4"/>
      <c r="J9" s="4"/>
      <c r="K9" s="9" t="s">
        <v>281</v>
      </c>
      <c r="L9" s="20"/>
      <c r="M9" s="2"/>
      <c r="N9" s="2"/>
      <c r="O9" s="2"/>
      <c r="P9" s="2"/>
      <c r="Q9" s="2"/>
    </row>
    <row r="10" spans="2:17" ht="16.5" thickTop="1" thickBot="1" x14ac:dyDescent="0.3">
      <c r="F10" s="3"/>
      <c r="G10" s="4"/>
      <c r="H10" s="4"/>
      <c r="I10" s="4"/>
      <c r="J10" s="4"/>
      <c r="K10" s="2"/>
      <c r="L10" s="2"/>
      <c r="M10" s="2"/>
      <c r="N10" s="2"/>
      <c r="O10" s="2"/>
      <c r="P10" s="2"/>
      <c r="Q10" s="2"/>
    </row>
    <row r="11" spans="2:17" ht="15.75" thickTop="1" x14ac:dyDescent="0.25">
      <c r="F11" s="3"/>
      <c r="G11" s="4"/>
      <c r="H11" s="4"/>
      <c r="I11" s="4"/>
      <c r="J11" s="4"/>
      <c r="K11" s="49"/>
      <c r="L11" s="50"/>
      <c r="M11" s="51"/>
      <c r="N11" s="46" t="str">
        <f>_xlfn.CONCAT("Random cluster selection (by PPS) for Lot : ",$C$3)</f>
        <v xml:space="preserve">Random cluster selection (by PPS) for Lot : </v>
      </c>
      <c r="O11" s="47"/>
      <c r="P11" s="47"/>
      <c r="Q11" s="48"/>
    </row>
    <row r="12" spans="2:17" ht="30" x14ac:dyDescent="0.25">
      <c r="F12" s="3"/>
      <c r="G12" s="4"/>
      <c r="H12" s="4"/>
      <c r="I12" s="4"/>
      <c r="J12" s="4"/>
      <c r="K12" s="33" t="s">
        <v>289</v>
      </c>
      <c r="L12" s="29" t="s">
        <v>14</v>
      </c>
      <c r="M12" s="34" t="s">
        <v>291</v>
      </c>
      <c r="N12" s="21" t="s">
        <v>289</v>
      </c>
      <c r="O12" s="22" t="s">
        <v>290</v>
      </c>
      <c r="P12" s="22" t="s">
        <v>286</v>
      </c>
      <c r="Q12" s="23" t="s">
        <v>15</v>
      </c>
    </row>
    <row r="13" spans="2:17" x14ac:dyDescent="0.25">
      <c r="F13" s="3"/>
      <c r="G13" s="4"/>
      <c r="H13" s="4"/>
      <c r="I13" s="4"/>
      <c r="J13" s="4"/>
      <c r="K13" s="35">
        <v>1</v>
      </c>
      <c r="L13" s="30" t="str">
        <f>IF(G3&lt;&gt;"",L9,"")</f>
        <v/>
      </c>
      <c r="M13" s="36">
        <f t="shared" ref="M13:M18" si="0">_xlfn.XLOOKUP($L13,$G$3:$G$401,$G$3:$G$401,,1,)</f>
        <v>0</v>
      </c>
      <c r="N13" s="31">
        <v>1</v>
      </c>
      <c r="O13" s="5">
        <f t="shared" ref="O13:O18" si="1">_xlfn.XLOOKUP($L13,$G$3:$G$401,$D$3:$D$401,,1,)</f>
        <v>0</v>
      </c>
      <c r="P13" s="5">
        <f t="shared" ref="P13:P18" si="2">_xlfn.XLOOKUP($L13,$G$3:$G$401,$E$3:$E$401,,1,)</f>
        <v>0</v>
      </c>
      <c r="Q13" s="24">
        <f t="shared" ref="Q13:Q18" si="3">_xlfn.XLOOKUP($L13,$G$3:$G$401,$F$3:$F$401,,1,)</f>
        <v>0</v>
      </c>
    </row>
    <row r="14" spans="2:17" x14ac:dyDescent="0.25">
      <c r="F14" s="3"/>
      <c r="G14" s="4"/>
      <c r="H14" s="4"/>
      <c r="I14" s="4"/>
      <c r="J14" s="4"/>
      <c r="K14" s="35">
        <v>2</v>
      </c>
      <c r="L14" s="30" t="str">
        <f>IF($L$7&lt;&gt;"",L13+$L$7,"")</f>
        <v/>
      </c>
      <c r="M14" s="36">
        <f t="shared" si="0"/>
        <v>0</v>
      </c>
      <c r="N14" s="31">
        <v>2</v>
      </c>
      <c r="O14" s="5">
        <f t="shared" si="1"/>
        <v>0</v>
      </c>
      <c r="P14" s="5">
        <f t="shared" si="2"/>
        <v>0</v>
      </c>
      <c r="Q14" s="24">
        <f t="shared" si="3"/>
        <v>0</v>
      </c>
    </row>
    <row r="15" spans="2:17" x14ac:dyDescent="0.25">
      <c r="F15" s="3"/>
      <c r="G15" s="4"/>
      <c r="H15" s="4"/>
      <c r="I15" s="4"/>
      <c r="J15" s="4"/>
      <c r="K15" s="35">
        <v>3</v>
      </c>
      <c r="L15" s="30" t="str">
        <f>IF($L$7&lt;&gt;"",L14+$L$7,"")</f>
        <v/>
      </c>
      <c r="M15" s="36">
        <f t="shared" si="0"/>
        <v>0</v>
      </c>
      <c r="N15" s="31">
        <v>3</v>
      </c>
      <c r="O15" s="5">
        <f t="shared" si="1"/>
        <v>0</v>
      </c>
      <c r="P15" s="5">
        <f t="shared" si="2"/>
        <v>0</v>
      </c>
      <c r="Q15" s="24">
        <f t="shared" si="3"/>
        <v>0</v>
      </c>
    </row>
    <row r="16" spans="2:17" x14ac:dyDescent="0.25">
      <c r="F16" s="3"/>
      <c r="G16" s="4"/>
      <c r="H16" s="4"/>
      <c r="I16" s="4"/>
      <c r="J16" s="4"/>
      <c r="K16" s="35">
        <v>4</v>
      </c>
      <c r="L16" s="30" t="str">
        <f>IF($L$7&lt;&gt;"",L15+$L$7,"")</f>
        <v/>
      </c>
      <c r="M16" s="36">
        <f t="shared" si="0"/>
        <v>0</v>
      </c>
      <c r="N16" s="31">
        <v>4</v>
      </c>
      <c r="O16" s="5">
        <f t="shared" si="1"/>
        <v>0</v>
      </c>
      <c r="P16" s="5">
        <f t="shared" si="2"/>
        <v>0</v>
      </c>
      <c r="Q16" s="24">
        <f t="shared" si="3"/>
        <v>0</v>
      </c>
    </row>
    <row r="17" spans="6:17" x14ac:dyDescent="0.25">
      <c r="F17" s="3"/>
      <c r="G17" s="4"/>
      <c r="H17" s="4"/>
      <c r="I17" s="4"/>
      <c r="J17" s="4"/>
      <c r="K17" s="35">
        <v>5</v>
      </c>
      <c r="L17" s="30" t="str">
        <f>IF($L$7&lt;&gt;"",L16+$L$7,"")</f>
        <v/>
      </c>
      <c r="M17" s="36">
        <f t="shared" si="0"/>
        <v>0</v>
      </c>
      <c r="N17" s="31">
        <v>5</v>
      </c>
      <c r="O17" s="5">
        <f t="shared" si="1"/>
        <v>0</v>
      </c>
      <c r="P17" s="5">
        <f t="shared" si="2"/>
        <v>0</v>
      </c>
      <c r="Q17" s="24">
        <f t="shared" si="3"/>
        <v>0</v>
      </c>
    </row>
    <row r="18" spans="6:17" ht="15.75" thickBot="1" x14ac:dyDescent="0.3">
      <c r="F18" s="3"/>
      <c r="G18" s="4"/>
      <c r="H18" s="4"/>
      <c r="I18" s="4"/>
      <c r="J18" s="4"/>
      <c r="K18" s="37">
        <v>6</v>
      </c>
      <c r="L18" s="38" t="str">
        <f>IF($L$7&lt;&gt;"",L17+$L$7,"")</f>
        <v/>
      </c>
      <c r="M18" s="39">
        <f t="shared" si="0"/>
        <v>0</v>
      </c>
      <c r="N18" s="32">
        <v>6</v>
      </c>
      <c r="O18" s="25">
        <f t="shared" si="1"/>
        <v>0</v>
      </c>
      <c r="P18" s="25">
        <f t="shared" si="2"/>
        <v>0</v>
      </c>
      <c r="Q18" s="26">
        <f t="shared" si="3"/>
        <v>0</v>
      </c>
    </row>
    <row r="19" spans="6:17" ht="15.75" thickTop="1" x14ac:dyDescent="0.25">
      <c r="F19" s="3"/>
      <c r="G19" s="4"/>
      <c r="H19" s="4"/>
      <c r="I19" s="4"/>
      <c r="J19" s="4"/>
      <c r="K19" s="6"/>
      <c r="L19" s="6"/>
      <c r="M19" s="6"/>
      <c r="N19" s="6"/>
      <c r="O19" s="6"/>
      <c r="P19" s="6"/>
      <c r="Q19" s="6"/>
    </row>
    <row r="20" spans="6:17" x14ac:dyDescent="0.25">
      <c r="F20" s="3"/>
      <c r="G20" s="4"/>
      <c r="H20" s="4"/>
      <c r="I20" s="4"/>
      <c r="J20" s="4"/>
      <c r="K20" s="6"/>
      <c r="L20" s="6"/>
      <c r="M20" s="6"/>
      <c r="N20" s="6"/>
      <c r="P20" s="27"/>
      <c r="Q20" s="28"/>
    </row>
    <row r="21" spans="6:17" x14ac:dyDescent="0.25">
      <c r="F21" s="3"/>
      <c r="G21" s="4"/>
      <c r="H21" s="4"/>
      <c r="I21" s="4"/>
      <c r="J21" s="4"/>
      <c r="K21" s="6"/>
      <c r="L21" s="6"/>
      <c r="M21" s="6"/>
      <c r="N21" s="6"/>
      <c r="P21" s="27"/>
      <c r="Q21" s="28"/>
    </row>
    <row r="22" spans="6:17" x14ac:dyDescent="0.25">
      <c r="F22" s="3"/>
      <c r="G22" s="4"/>
      <c r="H22" s="4"/>
      <c r="I22" s="4"/>
      <c r="J22" s="4"/>
      <c r="K22" s="2"/>
    </row>
    <row r="23" spans="6:17" x14ac:dyDescent="0.25">
      <c r="F23" s="3"/>
      <c r="G23" s="4"/>
      <c r="H23" s="4"/>
      <c r="I23" s="4"/>
      <c r="J23" s="4"/>
      <c r="K23" s="6"/>
    </row>
    <row r="24" spans="6:17" x14ac:dyDescent="0.25">
      <c r="F24" s="3"/>
      <c r="G24" s="4"/>
      <c r="H24" s="4"/>
      <c r="I24" s="4"/>
      <c r="J24" s="4"/>
      <c r="K24" s="6"/>
    </row>
    <row r="25" spans="6:17" x14ac:dyDescent="0.25">
      <c r="F25" s="3"/>
      <c r="G25" s="4"/>
      <c r="H25" s="4"/>
      <c r="I25" s="4"/>
      <c r="J25" s="4"/>
    </row>
    <row r="26" spans="6:17" x14ac:dyDescent="0.25">
      <c r="F26" s="3"/>
      <c r="G26" s="4"/>
      <c r="H26" s="4"/>
      <c r="I26" s="4"/>
      <c r="J26" s="4"/>
    </row>
    <row r="27" spans="6:17" x14ac:dyDescent="0.25">
      <c r="F27" s="3"/>
      <c r="G27" s="4"/>
      <c r="H27" s="4"/>
      <c r="I27" s="4"/>
      <c r="J27" s="4"/>
    </row>
    <row r="28" spans="6:17" x14ac:dyDescent="0.25">
      <c r="F28" s="3"/>
      <c r="G28" s="4"/>
      <c r="H28" s="4"/>
      <c r="I28" s="4"/>
      <c r="J28" s="4"/>
    </row>
    <row r="29" spans="6:17" x14ac:dyDescent="0.25">
      <c r="F29" s="3"/>
      <c r="G29" s="4"/>
      <c r="H29" s="4"/>
      <c r="I29" s="4"/>
      <c r="J29" s="4"/>
    </row>
    <row r="30" spans="6:17" x14ac:dyDescent="0.25">
      <c r="F30" s="3"/>
      <c r="G30" s="4"/>
      <c r="H30" s="4"/>
      <c r="I30" s="4"/>
      <c r="J30" s="4"/>
    </row>
    <row r="31" spans="6:17" x14ac:dyDescent="0.25">
      <c r="F31" s="3"/>
      <c r="G31" s="4"/>
      <c r="H31" s="4"/>
      <c r="I31" s="4"/>
      <c r="J31" s="4"/>
    </row>
    <row r="32" spans="6:17" x14ac:dyDescent="0.25">
      <c r="F32" s="3"/>
      <c r="G32" s="4"/>
      <c r="H32" s="4"/>
      <c r="I32" s="4"/>
      <c r="J32" s="4"/>
    </row>
    <row r="33" spans="6:10" x14ac:dyDescent="0.25">
      <c r="F33" s="3"/>
      <c r="G33" s="4"/>
      <c r="H33" s="4"/>
      <c r="I33" s="4"/>
      <c r="J33" s="4"/>
    </row>
    <row r="34" spans="6:10" x14ac:dyDescent="0.25">
      <c r="F34" s="3"/>
      <c r="G34" s="4"/>
      <c r="H34" s="4"/>
      <c r="I34" s="4"/>
      <c r="J34" s="4"/>
    </row>
    <row r="35" spans="6:10" x14ac:dyDescent="0.25">
      <c r="F35" s="3"/>
      <c r="G35" s="4"/>
      <c r="H35" s="4"/>
      <c r="I35" s="4"/>
      <c r="J35" s="4"/>
    </row>
    <row r="36" spans="6:10" x14ac:dyDescent="0.25">
      <c r="F36" s="3"/>
      <c r="G36" s="4"/>
      <c r="H36" s="4"/>
      <c r="I36" s="4"/>
      <c r="J36" s="4"/>
    </row>
    <row r="37" spans="6:10" x14ac:dyDescent="0.25">
      <c r="F37" s="3"/>
      <c r="G37" s="4"/>
      <c r="H37" s="4"/>
      <c r="I37" s="4"/>
      <c r="J37" s="4"/>
    </row>
    <row r="38" spans="6:10" x14ac:dyDescent="0.25">
      <c r="F38" s="3"/>
      <c r="G38" s="4"/>
      <c r="H38" s="4"/>
      <c r="I38" s="4"/>
      <c r="J38" s="4"/>
    </row>
    <row r="39" spans="6:10" x14ac:dyDescent="0.25">
      <c r="F39" s="3"/>
      <c r="G39" s="4"/>
      <c r="H39" s="4"/>
      <c r="I39" s="4"/>
      <c r="J39" s="4"/>
    </row>
    <row r="40" spans="6:10" x14ac:dyDescent="0.25">
      <c r="F40" s="3"/>
      <c r="G40" s="4"/>
      <c r="H40" s="4"/>
      <c r="I40" s="4"/>
      <c r="J40" s="4"/>
    </row>
    <row r="41" spans="6:10" x14ac:dyDescent="0.25">
      <c r="F41" s="3"/>
      <c r="G41" s="4"/>
      <c r="H41" s="4"/>
      <c r="I41" s="4"/>
      <c r="J41" s="4"/>
    </row>
    <row r="42" spans="6:10" x14ac:dyDescent="0.25">
      <c r="F42" s="3"/>
      <c r="G42" s="4"/>
      <c r="H42" s="4"/>
      <c r="I42" s="4"/>
      <c r="J42" s="4"/>
    </row>
    <row r="43" spans="6:10" x14ac:dyDescent="0.25">
      <c r="F43" s="3"/>
      <c r="G43" s="4"/>
      <c r="H43" s="4"/>
      <c r="I43" s="4"/>
      <c r="J43" s="4"/>
    </row>
    <row r="44" spans="6:10" x14ac:dyDescent="0.25">
      <c r="F44" s="3"/>
      <c r="G44" s="4"/>
      <c r="H44" s="4"/>
      <c r="I44" s="4"/>
      <c r="J44" s="4"/>
    </row>
    <row r="45" spans="6:10" x14ac:dyDescent="0.25">
      <c r="F45" s="3"/>
      <c r="G45" s="4"/>
      <c r="H45" s="4"/>
      <c r="I45" s="4"/>
      <c r="J45" s="4"/>
    </row>
    <row r="46" spans="6:10" x14ac:dyDescent="0.25">
      <c r="F46" s="3"/>
      <c r="G46" s="4"/>
      <c r="H46" s="4"/>
      <c r="I46" s="4"/>
      <c r="J46" s="4"/>
    </row>
    <row r="47" spans="6:10" x14ac:dyDescent="0.25">
      <c r="F47" s="3"/>
      <c r="G47" s="4"/>
      <c r="H47" s="4"/>
      <c r="I47" s="4"/>
      <c r="J47" s="4"/>
    </row>
    <row r="48" spans="6:10" x14ac:dyDescent="0.25">
      <c r="F48" s="3"/>
      <c r="G48" s="4"/>
      <c r="H48" s="4"/>
      <c r="I48" s="4"/>
      <c r="J48" s="4"/>
    </row>
    <row r="49" spans="6:10" x14ac:dyDescent="0.25">
      <c r="F49" s="3"/>
      <c r="G49" s="4"/>
      <c r="H49" s="4"/>
      <c r="I49" s="4"/>
      <c r="J49" s="4"/>
    </row>
    <row r="50" spans="6:10" x14ac:dyDescent="0.25">
      <c r="F50" s="3"/>
      <c r="G50" s="4"/>
      <c r="H50" s="4"/>
      <c r="I50" s="4"/>
      <c r="J50" s="4"/>
    </row>
    <row r="51" spans="6:10" x14ac:dyDescent="0.25">
      <c r="F51" s="3"/>
      <c r="G51" s="4"/>
      <c r="H51" s="4"/>
      <c r="I51" s="4"/>
      <c r="J51" s="4"/>
    </row>
    <row r="52" spans="6:10" x14ac:dyDescent="0.25">
      <c r="F52" s="3"/>
      <c r="G52" s="4"/>
      <c r="H52" s="4"/>
      <c r="I52" s="4"/>
      <c r="J52" s="4"/>
    </row>
    <row r="53" spans="6:10" x14ac:dyDescent="0.25">
      <c r="F53" s="3"/>
      <c r="G53" s="4"/>
      <c r="H53" s="4"/>
      <c r="I53" s="4"/>
      <c r="J53" s="4"/>
    </row>
    <row r="54" spans="6:10" x14ac:dyDescent="0.25">
      <c r="F54" s="3"/>
      <c r="G54" s="4"/>
      <c r="H54" s="4"/>
      <c r="I54" s="4"/>
      <c r="J54" s="4"/>
    </row>
    <row r="55" spans="6:10" x14ac:dyDescent="0.25">
      <c r="F55" s="3"/>
      <c r="G55" s="4"/>
      <c r="H55" s="4"/>
      <c r="I55" s="4"/>
      <c r="J55" s="4"/>
    </row>
    <row r="56" spans="6:10" x14ac:dyDescent="0.25">
      <c r="F56" s="3"/>
      <c r="G56" s="4"/>
      <c r="H56" s="4"/>
      <c r="I56" s="4"/>
      <c r="J56" s="4"/>
    </row>
    <row r="57" spans="6:10" x14ac:dyDescent="0.25">
      <c r="F57" s="3"/>
      <c r="G57" s="4"/>
      <c r="H57" s="4"/>
      <c r="I57" s="4"/>
      <c r="J57" s="4"/>
    </row>
    <row r="58" spans="6:10" x14ac:dyDescent="0.25">
      <c r="F58" s="3"/>
      <c r="G58" s="4"/>
      <c r="H58" s="4"/>
      <c r="I58" s="4"/>
      <c r="J58" s="4"/>
    </row>
    <row r="59" spans="6:10" x14ac:dyDescent="0.25">
      <c r="F59" s="3"/>
      <c r="G59" s="4"/>
      <c r="H59" s="4"/>
      <c r="I59" s="4"/>
      <c r="J59" s="4"/>
    </row>
    <row r="60" spans="6:10" x14ac:dyDescent="0.25">
      <c r="F60" s="3"/>
      <c r="G60" s="4"/>
      <c r="H60" s="4"/>
      <c r="I60" s="4"/>
      <c r="J60" s="4"/>
    </row>
    <row r="61" spans="6:10" x14ac:dyDescent="0.25">
      <c r="F61" s="3"/>
      <c r="G61" s="4"/>
      <c r="H61" s="4"/>
      <c r="I61" s="4"/>
      <c r="J61" s="4"/>
    </row>
    <row r="62" spans="6:10" x14ac:dyDescent="0.25">
      <c r="F62" s="3"/>
      <c r="G62" s="4"/>
      <c r="H62" s="4"/>
      <c r="I62" s="4"/>
      <c r="J62" s="4"/>
    </row>
    <row r="63" spans="6:10" x14ac:dyDescent="0.25">
      <c r="F63" s="3"/>
      <c r="G63" s="4"/>
      <c r="H63" s="4"/>
      <c r="I63" s="4"/>
      <c r="J63" s="4"/>
    </row>
    <row r="64" spans="6:10" x14ac:dyDescent="0.25">
      <c r="F64" s="3"/>
      <c r="G64" s="4"/>
      <c r="H64" s="4"/>
      <c r="I64" s="4"/>
      <c r="J64" s="4"/>
    </row>
    <row r="65" spans="6:10" x14ac:dyDescent="0.25">
      <c r="F65" s="3"/>
      <c r="G65" s="4"/>
      <c r="H65" s="4"/>
      <c r="I65" s="4"/>
      <c r="J65" s="4"/>
    </row>
    <row r="66" spans="6:10" x14ac:dyDescent="0.25">
      <c r="F66" s="3"/>
      <c r="G66" s="4"/>
      <c r="H66" s="4"/>
      <c r="I66" s="4"/>
      <c r="J66" s="4"/>
    </row>
    <row r="67" spans="6:10" x14ac:dyDescent="0.25">
      <c r="F67" s="3"/>
      <c r="G67" s="4"/>
      <c r="H67" s="4"/>
      <c r="I67" s="4"/>
      <c r="J67" s="4"/>
    </row>
    <row r="68" spans="6:10" x14ac:dyDescent="0.25">
      <c r="F68" s="3"/>
      <c r="G68" s="4"/>
      <c r="H68" s="4"/>
      <c r="I68" s="4"/>
      <c r="J68" s="4"/>
    </row>
    <row r="69" spans="6:10" x14ac:dyDescent="0.25">
      <c r="F69" s="3"/>
      <c r="G69" s="4"/>
      <c r="H69" s="4"/>
      <c r="I69" s="4"/>
      <c r="J69" s="4"/>
    </row>
    <row r="70" spans="6:10" x14ac:dyDescent="0.25">
      <c r="F70" s="3"/>
      <c r="G70" s="4"/>
      <c r="H70" s="4"/>
      <c r="I70" s="4"/>
      <c r="J70" s="4"/>
    </row>
    <row r="71" spans="6:10" x14ac:dyDescent="0.25">
      <c r="F71" s="3"/>
      <c r="G71" s="4"/>
      <c r="H71" s="4"/>
      <c r="I71" s="4"/>
      <c r="J71" s="4"/>
    </row>
    <row r="72" spans="6:10" x14ac:dyDescent="0.25">
      <c r="F72" s="3"/>
      <c r="G72" s="4"/>
      <c r="H72" s="4"/>
      <c r="I72" s="4"/>
      <c r="J72" s="4"/>
    </row>
    <row r="73" spans="6:10" x14ac:dyDescent="0.25">
      <c r="F73" s="3"/>
      <c r="G73" s="4"/>
      <c r="H73" s="4"/>
      <c r="I73" s="4"/>
      <c r="J73" s="4"/>
    </row>
    <row r="74" spans="6:10" x14ac:dyDescent="0.25">
      <c r="F74" s="3"/>
      <c r="G74" s="4"/>
      <c r="H74" s="4"/>
      <c r="I74" s="4"/>
      <c r="J74" s="4"/>
    </row>
    <row r="75" spans="6:10" x14ac:dyDescent="0.25">
      <c r="F75" s="3"/>
      <c r="G75" s="4"/>
      <c r="H75" s="4"/>
      <c r="I75" s="4"/>
      <c r="J75" s="4"/>
    </row>
    <row r="76" spans="6:10" x14ac:dyDescent="0.25">
      <c r="F76" s="3"/>
      <c r="G76" s="4"/>
      <c r="H76" s="4"/>
      <c r="I76" s="4"/>
      <c r="J76" s="4"/>
    </row>
    <row r="77" spans="6:10" x14ac:dyDescent="0.25">
      <c r="F77" s="3"/>
      <c r="G77" s="4"/>
      <c r="H77" s="4"/>
      <c r="I77" s="4"/>
      <c r="J77" s="4"/>
    </row>
    <row r="78" spans="6:10" x14ac:dyDescent="0.25">
      <c r="F78" s="3"/>
      <c r="G78" s="4"/>
      <c r="H78" s="4"/>
      <c r="I78" s="4"/>
      <c r="J78" s="4"/>
    </row>
    <row r="79" spans="6:10" x14ac:dyDescent="0.25">
      <c r="F79" s="3"/>
      <c r="G79" s="4"/>
      <c r="H79" s="4"/>
      <c r="I79" s="4"/>
      <c r="J79" s="4"/>
    </row>
    <row r="80" spans="6:10" x14ac:dyDescent="0.25">
      <c r="F80" s="3"/>
      <c r="G80" s="4"/>
      <c r="H80" s="4"/>
      <c r="I80" s="4"/>
      <c r="J80" s="4"/>
    </row>
    <row r="81" spans="6:10" x14ac:dyDescent="0.25">
      <c r="F81" s="3"/>
      <c r="G81" s="4"/>
      <c r="H81" s="4"/>
      <c r="I81" s="4"/>
      <c r="J81" s="4"/>
    </row>
    <row r="82" spans="6:10" x14ac:dyDescent="0.25">
      <c r="F82" s="3"/>
      <c r="G82" s="4"/>
      <c r="H82" s="4"/>
      <c r="I82" s="4"/>
      <c r="J82" s="4"/>
    </row>
    <row r="83" spans="6:10" x14ac:dyDescent="0.25">
      <c r="F83" s="3"/>
      <c r="G83" s="4"/>
      <c r="H83" s="4"/>
      <c r="I83" s="4"/>
      <c r="J83" s="4"/>
    </row>
    <row r="84" spans="6:10" x14ac:dyDescent="0.25">
      <c r="F84" s="3"/>
      <c r="G84" s="4"/>
      <c r="H84" s="4"/>
      <c r="I84" s="4"/>
      <c r="J84" s="4"/>
    </row>
    <row r="85" spans="6:10" x14ac:dyDescent="0.25">
      <c r="F85" s="3"/>
      <c r="G85" s="4"/>
      <c r="H85" s="4"/>
      <c r="I85" s="4"/>
      <c r="J85" s="4"/>
    </row>
    <row r="86" spans="6:10" x14ac:dyDescent="0.25">
      <c r="F86" s="3"/>
      <c r="G86" s="4"/>
      <c r="H86" s="4"/>
      <c r="I86" s="4"/>
      <c r="J86" s="4"/>
    </row>
    <row r="87" spans="6:10" x14ac:dyDescent="0.25">
      <c r="F87" s="3"/>
      <c r="G87" s="4"/>
      <c r="H87" s="4"/>
      <c r="I87" s="4"/>
      <c r="J87" s="4"/>
    </row>
    <row r="88" spans="6:10" x14ac:dyDescent="0.25">
      <c r="F88" s="3"/>
      <c r="G88" s="4"/>
      <c r="H88" s="4"/>
      <c r="I88" s="4"/>
      <c r="J88" s="4"/>
    </row>
    <row r="89" spans="6:10" x14ac:dyDescent="0.25">
      <c r="F89" s="3"/>
      <c r="G89" s="4"/>
      <c r="H89" s="4"/>
      <c r="I89" s="4"/>
      <c r="J89" s="4"/>
    </row>
    <row r="90" spans="6:10" x14ac:dyDescent="0.25">
      <c r="F90" s="3"/>
      <c r="G90" s="4"/>
      <c r="H90" s="4"/>
      <c r="I90" s="4"/>
      <c r="J90" s="4"/>
    </row>
    <row r="91" spans="6:10" x14ac:dyDescent="0.25">
      <c r="F91" s="3"/>
      <c r="G91" s="4"/>
      <c r="H91" s="4"/>
      <c r="I91" s="4"/>
      <c r="J91" s="4"/>
    </row>
    <row r="92" spans="6:10" x14ac:dyDescent="0.25">
      <c r="F92" s="3"/>
      <c r="G92" s="4"/>
      <c r="H92" s="4"/>
      <c r="I92" s="4"/>
      <c r="J92" s="4"/>
    </row>
    <row r="93" spans="6:10" x14ac:dyDescent="0.25">
      <c r="F93" s="3"/>
      <c r="G93" s="4"/>
      <c r="H93" s="4"/>
      <c r="I93" s="4"/>
      <c r="J93" s="4"/>
    </row>
    <row r="94" spans="6:10" x14ac:dyDescent="0.25">
      <c r="F94" s="3"/>
      <c r="G94" s="4"/>
      <c r="H94" s="4"/>
      <c r="I94" s="4"/>
      <c r="J94" s="4"/>
    </row>
    <row r="95" spans="6:10" x14ac:dyDescent="0.25">
      <c r="F95" s="3"/>
      <c r="G95" s="4"/>
      <c r="H95" s="4"/>
      <c r="I95" s="4"/>
      <c r="J95" s="4"/>
    </row>
    <row r="96" spans="6:10" x14ac:dyDescent="0.25">
      <c r="F96" s="3"/>
      <c r="G96" s="4"/>
      <c r="H96" s="4"/>
      <c r="I96" s="4"/>
      <c r="J96" s="4"/>
    </row>
    <row r="97" spans="6:10" x14ac:dyDescent="0.25">
      <c r="F97" s="3"/>
      <c r="G97" s="4"/>
      <c r="H97" s="4"/>
      <c r="I97" s="4"/>
      <c r="J97" s="4"/>
    </row>
    <row r="98" spans="6:10" x14ac:dyDescent="0.25">
      <c r="F98" s="3"/>
      <c r="G98" s="4"/>
      <c r="H98" s="4"/>
      <c r="I98" s="4"/>
      <c r="J98" s="4"/>
    </row>
    <row r="99" spans="6:10" x14ac:dyDescent="0.25">
      <c r="F99" s="3"/>
      <c r="G99" s="4"/>
      <c r="H99" s="4"/>
      <c r="I99" s="4"/>
      <c r="J99" s="4"/>
    </row>
    <row r="100" spans="6:10" x14ac:dyDescent="0.25">
      <c r="F100" s="3"/>
      <c r="G100" s="4"/>
      <c r="H100" s="4"/>
      <c r="I100" s="4"/>
      <c r="J100" s="4"/>
    </row>
    <row r="101" spans="6:10" x14ac:dyDescent="0.25">
      <c r="F101" s="3"/>
      <c r="G101" s="4"/>
      <c r="H101" s="4"/>
      <c r="I101" s="4"/>
      <c r="J101" s="4"/>
    </row>
    <row r="102" spans="6:10" x14ac:dyDescent="0.25">
      <c r="F102" s="3"/>
      <c r="G102" s="4"/>
      <c r="H102" s="4"/>
      <c r="I102" s="4"/>
      <c r="J102" s="4"/>
    </row>
    <row r="103" spans="6:10" x14ac:dyDescent="0.25">
      <c r="F103" s="3"/>
      <c r="G103" s="4"/>
      <c r="H103" s="4"/>
      <c r="I103" s="4"/>
      <c r="J103" s="4"/>
    </row>
    <row r="104" spans="6:10" x14ac:dyDescent="0.25">
      <c r="F104" s="3"/>
      <c r="G104" s="4"/>
      <c r="H104" s="4"/>
      <c r="I104" s="4"/>
      <c r="J104" s="4"/>
    </row>
    <row r="105" spans="6:10" x14ac:dyDescent="0.25">
      <c r="F105" s="3"/>
      <c r="G105" s="4"/>
      <c r="H105" s="4"/>
      <c r="I105" s="4"/>
      <c r="J105" s="4"/>
    </row>
    <row r="106" spans="6:10" x14ac:dyDescent="0.25">
      <c r="F106" s="3"/>
      <c r="G106" s="4"/>
      <c r="H106" s="4"/>
      <c r="I106" s="4"/>
      <c r="J106" s="4"/>
    </row>
    <row r="107" spans="6:10" x14ac:dyDescent="0.25">
      <c r="F107" s="3"/>
      <c r="G107" s="4"/>
      <c r="H107" s="4"/>
      <c r="I107" s="4"/>
      <c r="J107" s="4"/>
    </row>
    <row r="108" spans="6:10" x14ac:dyDescent="0.25">
      <c r="F108" s="3"/>
      <c r="G108" s="4"/>
      <c r="H108" s="4"/>
      <c r="I108" s="4"/>
      <c r="J108" s="4"/>
    </row>
    <row r="109" spans="6:10" x14ac:dyDescent="0.25">
      <c r="F109" s="3"/>
      <c r="G109" s="4"/>
      <c r="H109" s="4"/>
      <c r="I109" s="4"/>
      <c r="J109" s="4"/>
    </row>
    <row r="110" spans="6:10" x14ac:dyDescent="0.25">
      <c r="F110" s="3"/>
      <c r="G110" s="4"/>
      <c r="H110" s="4"/>
      <c r="I110" s="4"/>
      <c r="J110" s="4"/>
    </row>
    <row r="111" spans="6:10" x14ac:dyDescent="0.25">
      <c r="F111" s="3"/>
      <c r="G111" s="4"/>
      <c r="H111" s="4"/>
      <c r="I111" s="4"/>
      <c r="J111" s="4"/>
    </row>
    <row r="112" spans="6:10" x14ac:dyDescent="0.25">
      <c r="F112" s="3"/>
      <c r="G112" s="4"/>
      <c r="H112" s="4"/>
      <c r="I112" s="4"/>
      <c r="J112" s="4"/>
    </row>
    <row r="113" spans="6:10" x14ac:dyDescent="0.25">
      <c r="F113" s="3"/>
      <c r="G113" s="4"/>
      <c r="H113" s="4"/>
      <c r="I113" s="4"/>
      <c r="J113" s="4"/>
    </row>
    <row r="114" spans="6:10" x14ac:dyDescent="0.25">
      <c r="F114" s="3"/>
      <c r="G114" s="4"/>
      <c r="H114" s="4"/>
      <c r="I114" s="4"/>
      <c r="J114" s="4"/>
    </row>
    <row r="115" spans="6:10" x14ac:dyDescent="0.25">
      <c r="F115" s="3"/>
      <c r="G115" s="4"/>
      <c r="H115" s="4"/>
      <c r="I115" s="4"/>
      <c r="J115" s="4"/>
    </row>
    <row r="116" spans="6:10" x14ac:dyDescent="0.25">
      <c r="F116" s="3"/>
      <c r="G116" s="4"/>
      <c r="H116" s="4"/>
      <c r="I116" s="4"/>
      <c r="J116" s="4"/>
    </row>
    <row r="117" spans="6:10" x14ac:dyDescent="0.25">
      <c r="F117" s="3"/>
      <c r="G117" s="4"/>
      <c r="H117" s="4"/>
      <c r="I117" s="4"/>
      <c r="J117" s="4"/>
    </row>
    <row r="118" spans="6:10" x14ac:dyDescent="0.25">
      <c r="F118" s="3"/>
      <c r="G118" s="4"/>
      <c r="H118" s="4"/>
      <c r="I118" s="4"/>
      <c r="J118" s="4"/>
    </row>
    <row r="119" spans="6:10" x14ac:dyDescent="0.25">
      <c r="F119" s="3"/>
      <c r="G119" s="4"/>
      <c r="H119" s="4"/>
      <c r="I119" s="4"/>
      <c r="J119" s="4"/>
    </row>
    <row r="120" spans="6:10" x14ac:dyDescent="0.25">
      <c r="F120" s="3"/>
      <c r="G120" s="4"/>
      <c r="H120" s="4"/>
      <c r="I120" s="4"/>
      <c r="J120" s="4"/>
    </row>
    <row r="121" spans="6:10" x14ac:dyDescent="0.25">
      <c r="F121" s="3"/>
      <c r="G121" s="4"/>
      <c r="H121" s="4"/>
      <c r="I121" s="4"/>
      <c r="J121" s="4"/>
    </row>
    <row r="122" spans="6:10" x14ac:dyDescent="0.25">
      <c r="F122" s="3"/>
      <c r="G122" s="4"/>
      <c r="H122" s="4"/>
      <c r="I122" s="4"/>
      <c r="J122" s="4"/>
    </row>
    <row r="123" spans="6:10" x14ac:dyDescent="0.25">
      <c r="F123" s="3"/>
      <c r="G123" s="4"/>
      <c r="H123" s="4"/>
      <c r="I123" s="4"/>
      <c r="J123" s="4"/>
    </row>
    <row r="124" spans="6:10" x14ac:dyDescent="0.25">
      <c r="F124" s="3"/>
      <c r="G124" s="4"/>
      <c r="H124" s="4"/>
      <c r="I124" s="4"/>
      <c r="J124" s="4"/>
    </row>
    <row r="125" spans="6:10" x14ac:dyDescent="0.25">
      <c r="F125" s="3"/>
      <c r="G125" s="4"/>
      <c r="H125" s="4"/>
      <c r="I125" s="4"/>
      <c r="J125" s="4"/>
    </row>
    <row r="126" spans="6:10" x14ac:dyDescent="0.25">
      <c r="F126" s="3"/>
      <c r="G126" s="4"/>
      <c r="H126" s="4"/>
      <c r="I126" s="4"/>
      <c r="J126" s="4"/>
    </row>
    <row r="127" spans="6:10" x14ac:dyDescent="0.25">
      <c r="F127" s="3"/>
      <c r="G127" s="4"/>
      <c r="H127" s="4"/>
      <c r="I127" s="4"/>
      <c r="J127" s="4"/>
    </row>
    <row r="128" spans="6:10" x14ac:dyDescent="0.25">
      <c r="F128" s="3"/>
      <c r="G128" s="4"/>
      <c r="H128" s="4"/>
      <c r="I128" s="4"/>
      <c r="J128" s="4"/>
    </row>
    <row r="129" spans="6:10" x14ac:dyDescent="0.25">
      <c r="F129" s="3"/>
      <c r="G129" s="4"/>
      <c r="H129" s="4"/>
      <c r="I129" s="4"/>
      <c r="J129" s="4"/>
    </row>
    <row r="130" spans="6:10" x14ac:dyDescent="0.25">
      <c r="F130" s="3"/>
      <c r="G130" s="4"/>
      <c r="H130" s="4"/>
      <c r="I130" s="4"/>
      <c r="J130" s="4"/>
    </row>
    <row r="131" spans="6:10" x14ac:dyDescent="0.25">
      <c r="F131" s="3"/>
      <c r="G131" s="4"/>
      <c r="H131" s="4"/>
      <c r="I131" s="4"/>
      <c r="J131" s="4"/>
    </row>
    <row r="132" spans="6:10" x14ac:dyDescent="0.25">
      <c r="F132" s="3"/>
      <c r="G132" s="4"/>
      <c r="H132" s="4"/>
      <c r="I132" s="4"/>
      <c r="J132" s="4"/>
    </row>
    <row r="133" spans="6:10" x14ac:dyDescent="0.25">
      <c r="F133" s="3"/>
      <c r="G133" s="4"/>
      <c r="H133" s="4"/>
      <c r="I133" s="4"/>
      <c r="J133" s="4"/>
    </row>
    <row r="134" spans="6:10" x14ac:dyDescent="0.25">
      <c r="F134" s="3"/>
      <c r="G134" s="4"/>
      <c r="H134" s="4"/>
      <c r="I134" s="4"/>
      <c r="J134" s="4"/>
    </row>
    <row r="135" spans="6:10" x14ac:dyDescent="0.25">
      <c r="F135" s="3"/>
      <c r="G135" s="4"/>
      <c r="H135" s="4"/>
      <c r="I135" s="4"/>
      <c r="J135" s="4"/>
    </row>
    <row r="136" spans="6:10" x14ac:dyDescent="0.25">
      <c r="F136" s="3"/>
      <c r="G136" s="4"/>
      <c r="H136" s="4"/>
      <c r="I136" s="4"/>
      <c r="J136" s="4"/>
    </row>
    <row r="137" spans="6:10" x14ac:dyDescent="0.25">
      <c r="F137" s="3"/>
      <c r="G137" s="4"/>
      <c r="H137" s="4"/>
      <c r="I137" s="4"/>
      <c r="J137" s="4"/>
    </row>
    <row r="138" spans="6:10" x14ac:dyDescent="0.25">
      <c r="F138" s="3"/>
      <c r="G138" s="4"/>
      <c r="H138" s="4"/>
      <c r="I138" s="4"/>
      <c r="J138" s="4"/>
    </row>
    <row r="139" spans="6:10" x14ac:dyDescent="0.25">
      <c r="F139" s="3"/>
      <c r="G139" s="4"/>
      <c r="H139" s="4"/>
      <c r="I139" s="4"/>
      <c r="J139" s="4"/>
    </row>
    <row r="140" spans="6:10" x14ac:dyDescent="0.25">
      <c r="F140" s="3"/>
      <c r="G140" s="4"/>
      <c r="H140" s="4"/>
      <c r="I140" s="4"/>
      <c r="J140" s="4"/>
    </row>
    <row r="141" spans="6:10" x14ac:dyDescent="0.25">
      <c r="F141" s="3"/>
      <c r="G141" s="4"/>
      <c r="H141" s="4"/>
      <c r="I141" s="4"/>
      <c r="J141" s="4"/>
    </row>
    <row r="142" spans="6:10" x14ac:dyDescent="0.25">
      <c r="F142" s="3"/>
      <c r="G142" s="4"/>
      <c r="H142" s="4"/>
      <c r="I142" s="4"/>
      <c r="J142" s="4"/>
    </row>
    <row r="143" spans="6:10" x14ac:dyDescent="0.25">
      <c r="F143" s="3"/>
      <c r="G143" s="4"/>
      <c r="H143" s="4"/>
      <c r="I143" s="4"/>
      <c r="J143" s="4"/>
    </row>
    <row r="144" spans="6:10" x14ac:dyDescent="0.25">
      <c r="F144" s="3"/>
      <c r="G144" s="4"/>
      <c r="H144" s="4"/>
      <c r="I144" s="4"/>
      <c r="J144" s="4"/>
    </row>
    <row r="145" spans="6:10" x14ac:dyDescent="0.25">
      <c r="F145" s="3"/>
      <c r="G145" s="4"/>
      <c r="H145" s="4"/>
      <c r="I145" s="4"/>
      <c r="J145" s="4"/>
    </row>
    <row r="146" spans="6:10" x14ac:dyDescent="0.25">
      <c r="F146" s="3"/>
      <c r="G146" s="4"/>
      <c r="H146" s="4"/>
      <c r="I146" s="4"/>
      <c r="J146" s="4"/>
    </row>
    <row r="147" spans="6:10" x14ac:dyDescent="0.25">
      <c r="F147" s="3"/>
      <c r="G147" s="4"/>
      <c r="H147" s="4"/>
      <c r="I147" s="4"/>
      <c r="J147" s="4"/>
    </row>
    <row r="148" spans="6:10" x14ac:dyDescent="0.25">
      <c r="F148" s="3"/>
      <c r="G148" s="4"/>
      <c r="H148" s="4"/>
      <c r="I148" s="4"/>
      <c r="J148" s="4"/>
    </row>
    <row r="149" spans="6:10" x14ac:dyDescent="0.25">
      <c r="F149" s="3"/>
      <c r="G149" s="4"/>
      <c r="H149" s="4"/>
      <c r="I149" s="4"/>
      <c r="J149" s="4"/>
    </row>
    <row r="150" spans="6:10" x14ac:dyDescent="0.25">
      <c r="F150" s="3"/>
      <c r="G150" s="4"/>
      <c r="H150" s="4"/>
      <c r="I150" s="4"/>
      <c r="J150" s="4"/>
    </row>
    <row r="151" spans="6:10" x14ac:dyDescent="0.25">
      <c r="F151" s="3"/>
      <c r="G151" s="4"/>
      <c r="H151" s="4"/>
      <c r="I151" s="4"/>
      <c r="J151" s="4"/>
    </row>
    <row r="152" spans="6:10" x14ac:dyDescent="0.25">
      <c r="F152" s="3"/>
      <c r="G152" s="4"/>
      <c r="H152" s="4"/>
      <c r="I152" s="4"/>
      <c r="J152" s="4"/>
    </row>
    <row r="153" spans="6:10" x14ac:dyDescent="0.25">
      <c r="F153" s="3"/>
      <c r="G153" s="4"/>
      <c r="H153" s="4"/>
      <c r="I153" s="4"/>
      <c r="J153" s="4"/>
    </row>
    <row r="154" spans="6:10" x14ac:dyDescent="0.25">
      <c r="F154" s="3"/>
      <c r="G154" s="4"/>
      <c r="H154" s="4"/>
      <c r="I154" s="4"/>
      <c r="J154" s="4"/>
    </row>
    <row r="155" spans="6:10" x14ac:dyDescent="0.25">
      <c r="F155" s="3"/>
      <c r="G155" s="4"/>
      <c r="H155" s="4"/>
      <c r="I155" s="4"/>
      <c r="J155" s="4"/>
    </row>
    <row r="156" spans="6:10" x14ac:dyDescent="0.25">
      <c r="F156" s="3"/>
      <c r="G156" s="4"/>
      <c r="H156" s="4"/>
      <c r="I156" s="4"/>
      <c r="J156" s="4"/>
    </row>
    <row r="157" spans="6:10" x14ac:dyDescent="0.25">
      <c r="F157" s="3"/>
      <c r="G157" s="4"/>
      <c r="H157" s="4"/>
      <c r="I157" s="4"/>
      <c r="J157" s="4"/>
    </row>
    <row r="158" spans="6:10" x14ac:dyDescent="0.25">
      <c r="F158" s="3"/>
      <c r="G158" s="4"/>
      <c r="H158" s="4"/>
      <c r="I158" s="4"/>
      <c r="J158" s="4"/>
    </row>
    <row r="159" spans="6:10" x14ac:dyDescent="0.25">
      <c r="F159" s="3"/>
      <c r="G159" s="4"/>
      <c r="H159" s="4"/>
      <c r="I159" s="4"/>
      <c r="J159" s="4"/>
    </row>
    <row r="160" spans="6:10" x14ac:dyDescent="0.25">
      <c r="F160" s="3"/>
      <c r="G160" s="4"/>
      <c r="H160" s="4"/>
      <c r="I160" s="4"/>
      <c r="J160" s="4"/>
    </row>
    <row r="161" spans="6:10" x14ac:dyDescent="0.25">
      <c r="F161" s="3"/>
      <c r="G161" s="4"/>
      <c r="H161" s="4"/>
      <c r="I161" s="4"/>
      <c r="J161" s="4"/>
    </row>
    <row r="162" spans="6:10" x14ac:dyDescent="0.25">
      <c r="F162" s="3"/>
      <c r="G162" s="4"/>
      <c r="H162" s="4"/>
      <c r="I162" s="4"/>
      <c r="J162" s="4"/>
    </row>
    <row r="163" spans="6:10" x14ac:dyDescent="0.25">
      <c r="F163" s="3"/>
      <c r="G163" s="4"/>
      <c r="H163" s="4"/>
      <c r="I163" s="4"/>
      <c r="J163" s="4"/>
    </row>
    <row r="164" spans="6:10" x14ac:dyDescent="0.25">
      <c r="F164" s="3"/>
      <c r="G164" s="4"/>
      <c r="H164" s="4"/>
      <c r="I164" s="4"/>
      <c r="J164" s="4"/>
    </row>
    <row r="165" spans="6:10" x14ac:dyDescent="0.25">
      <c r="F165" s="3"/>
      <c r="G165" s="4"/>
      <c r="H165" s="4"/>
      <c r="I165" s="4"/>
      <c r="J165" s="4"/>
    </row>
    <row r="166" spans="6:10" x14ac:dyDescent="0.25">
      <c r="F166" s="3"/>
      <c r="G166" s="4"/>
      <c r="H166" s="4"/>
      <c r="I166" s="4"/>
      <c r="J166" s="4"/>
    </row>
    <row r="167" spans="6:10" x14ac:dyDescent="0.25">
      <c r="F167" s="3"/>
      <c r="G167" s="4"/>
      <c r="H167" s="4"/>
      <c r="I167" s="4"/>
      <c r="J167" s="4"/>
    </row>
    <row r="168" spans="6:10" x14ac:dyDescent="0.25">
      <c r="F168" s="3"/>
      <c r="G168" s="4"/>
      <c r="H168" s="4"/>
      <c r="I168" s="4"/>
      <c r="J168" s="4"/>
    </row>
    <row r="169" spans="6:10" x14ac:dyDescent="0.25">
      <c r="F169" s="3"/>
      <c r="G169" s="4"/>
      <c r="H169" s="4"/>
      <c r="I169" s="4"/>
      <c r="J169" s="4"/>
    </row>
    <row r="170" spans="6:10" x14ac:dyDescent="0.25">
      <c r="F170" s="3"/>
      <c r="G170" s="4"/>
      <c r="H170" s="4"/>
      <c r="I170" s="4"/>
      <c r="J170" s="4"/>
    </row>
    <row r="171" spans="6:10" x14ac:dyDescent="0.25">
      <c r="F171" s="3"/>
      <c r="G171" s="4"/>
      <c r="H171" s="4"/>
      <c r="I171" s="4"/>
      <c r="J171" s="4"/>
    </row>
    <row r="172" spans="6:10" x14ac:dyDescent="0.25">
      <c r="F172" s="3"/>
      <c r="G172" s="4"/>
      <c r="H172" s="4"/>
      <c r="I172" s="4"/>
      <c r="J172" s="4"/>
    </row>
    <row r="173" spans="6:10" x14ac:dyDescent="0.25">
      <c r="F173" s="3"/>
      <c r="G173" s="4"/>
      <c r="H173" s="4"/>
      <c r="I173" s="4"/>
      <c r="J173" s="4"/>
    </row>
    <row r="174" spans="6:10" x14ac:dyDescent="0.25">
      <c r="F174" s="3"/>
      <c r="G174" s="4"/>
      <c r="H174" s="4"/>
      <c r="I174" s="4"/>
      <c r="J174" s="4"/>
    </row>
    <row r="175" spans="6:10" x14ac:dyDescent="0.25">
      <c r="F175" s="3"/>
      <c r="G175" s="4"/>
      <c r="H175" s="4"/>
      <c r="I175" s="4"/>
      <c r="J175" s="4"/>
    </row>
    <row r="176" spans="6:10" x14ac:dyDescent="0.25">
      <c r="F176" s="3"/>
      <c r="G176" s="4"/>
      <c r="H176" s="4"/>
      <c r="I176" s="4"/>
      <c r="J176" s="4"/>
    </row>
    <row r="177" spans="6:10" x14ac:dyDescent="0.25">
      <c r="F177" s="3"/>
      <c r="G177" s="4"/>
      <c r="H177" s="4"/>
      <c r="I177" s="4"/>
      <c r="J177" s="4"/>
    </row>
    <row r="178" spans="6:10" x14ac:dyDescent="0.25">
      <c r="F178" s="3"/>
      <c r="G178" s="4"/>
      <c r="H178" s="4"/>
      <c r="I178" s="4"/>
      <c r="J178" s="4"/>
    </row>
    <row r="179" spans="6:10" x14ac:dyDescent="0.25">
      <c r="F179" s="3"/>
      <c r="G179" s="4"/>
      <c r="H179" s="4"/>
      <c r="I179" s="4"/>
      <c r="J179" s="4"/>
    </row>
    <row r="180" spans="6:10" x14ac:dyDescent="0.25">
      <c r="F180" s="3"/>
      <c r="G180" s="4"/>
      <c r="H180" s="4"/>
      <c r="I180" s="4"/>
      <c r="J180" s="4"/>
    </row>
    <row r="181" spans="6:10" x14ac:dyDescent="0.25">
      <c r="F181" s="3"/>
      <c r="G181" s="4"/>
      <c r="H181" s="4"/>
      <c r="I181" s="4"/>
      <c r="J181" s="4"/>
    </row>
    <row r="182" spans="6:10" x14ac:dyDescent="0.25">
      <c r="F182" s="3"/>
      <c r="G182" s="4"/>
      <c r="H182" s="4"/>
      <c r="I182" s="4"/>
      <c r="J182" s="4"/>
    </row>
    <row r="183" spans="6:10" x14ac:dyDescent="0.25">
      <c r="F183" s="3"/>
      <c r="G183" s="4"/>
      <c r="H183" s="4"/>
      <c r="I183" s="4"/>
      <c r="J183" s="4"/>
    </row>
    <row r="184" spans="6:10" x14ac:dyDescent="0.25">
      <c r="F184" s="3"/>
      <c r="G184" s="4"/>
      <c r="H184" s="4"/>
      <c r="I184" s="4"/>
      <c r="J184" s="4"/>
    </row>
    <row r="185" spans="6:10" x14ac:dyDescent="0.25">
      <c r="F185" s="3"/>
      <c r="G185" s="4"/>
      <c r="H185" s="4"/>
      <c r="I185" s="4"/>
      <c r="J185" s="4"/>
    </row>
    <row r="186" spans="6:10" x14ac:dyDescent="0.25">
      <c r="F186" s="3"/>
      <c r="G186" s="4"/>
      <c r="H186" s="4"/>
      <c r="I186" s="4"/>
      <c r="J186" s="4"/>
    </row>
    <row r="187" spans="6:10" x14ac:dyDescent="0.25">
      <c r="F187" s="3"/>
      <c r="G187" s="4"/>
      <c r="H187" s="4"/>
      <c r="I187" s="4"/>
      <c r="J187" s="4"/>
    </row>
    <row r="188" spans="6:10" x14ac:dyDescent="0.25">
      <c r="F188" s="3"/>
      <c r="G188" s="4"/>
      <c r="H188" s="4"/>
      <c r="I188" s="4"/>
      <c r="J188" s="4"/>
    </row>
    <row r="189" spans="6:10" x14ac:dyDescent="0.25">
      <c r="F189" s="3"/>
      <c r="G189" s="4"/>
      <c r="H189" s="4"/>
      <c r="I189" s="4"/>
      <c r="J189" s="4"/>
    </row>
    <row r="190" spans="6:10" x14ac:dyDescent="0.25">
      <c r="F190" s="3"/>
      <c r="G190" s="4"/>
      <c r="H190" s="4"/>
      <c r="I190" s="4"/>
      <c r="J190" s="4"/>
    </row>
    <row r="191" spans="6:10" x14ac:dyDescent="0.25">
      <c r="F191" s="3"/>
      <c r="G191" s="4"/>
      <c r="H191" s="4"/>
      <c r="I191" s="4"/>
      <c r="J191" s="4"/>
    </row>
    <row r="192" spans="6:10" x14ac:dyDescent="0.25">
      <c r="F192" s="3"/>
      <c r="G192" s="4"/>
      <c r="H192" s="4"/>
      <c r="I192" s="4"/>
      <c r="J192" s="4"/>
    </row>
    <row r="193" spans="6:10" x14ac:dyDescent="0.25">
      <c r="F193" s="3"/>
      <c r="G193" s="4"/>
      <c r="H193" s="4"/>
      <c r="I193" s="4"/>
      <c r="J193" s="4"/>
    </row>
    <row r="194" spans="6:10" x14ac:dyDescent="0.25">
      <c r="F194" s="3"/>
      <c r="G194" s="4"/>
      <c r="H194" s="4"/>
      <c r="I194" s="4"/>
      <c r="J194" s="4"/>
    </row>
    <row r="195" spans="6:10" x14ac:dyDescent="0.25">
      <c r="F195" s="3"/>
      <c r="G195" s="4"/>
      <c r="H195" s="4"/>
      <c r="I195" s="4"/>
      <c r="J195" s="4"/>
    </row>
    <row r="196" spans="6:10" x14ac:dyDescent="0.25">
      <c r="F196" s="3"/>
      <c r="G196" s="4"/>
      <c r="H196" s="4"/>
      <c r="I196" s="4"/>
      <c r="J196" s="4"/>
    </row>
    <row r="197" spans="6:10" x14ac:dyDescent="0.25">
      <c r="F197" s="3"/>
      <c r="G197" s="4"/>
      <c r="H197" s="4"/>
      <c r="I197" s="4"/>
      <c r="J197" s="4"/>
    </row>
    <row r="198" spans="6:10" x14ac:dyDescent="0.25">
      <c r="F198" s="3"/>
      <c r="G198" s="4"/>
      <c r="H198" s="4"/>
      <c r="I198" s="4"/>
      <c r="J198" s="4"/>
    </row>
    <row r="199" spans="6:10" x14ac:dyDescent="0.25">
      <c r="F199" s="3"/>
      <c r="G199" s="4"/>
      <c r="H199" s="4"/>
      <c r="I199" s="4"/>
      <c r="J199" s="4"/>
    </row>
    <row r="200" spans="6:10" x14ac:dyDescent="0.25">
      <c r="F200" s="3"/>
      <c r="G200" s="4"/>
      <c r="H200" s="4"/>
      <c r="I200" s="4"/>
      <c r="J200" s="4"/>
    </row>
    <row r="201" spans="6:10" x14ac:dyDescent="0.25">
      <c r="F201" s="3"/>
      <c r="G201" s="4"/>
      <c r="H201" s="4"/>
      <c r="I201" s="4"/>
      <c r="J201" s="4"/>
    </row>
    <row r="202" spans="6:10" x14ac:dyDescent="0.25">
      <c r="F202" s="3"/>
      <c r="G202" s="4"/>
      <c r="H202" s="4"/>
      <c r="I202" s="4"/>
      <c r="J202" s="4"/>
    </row>
    <row r="203" spans="6:10" x14ac:dyDescent="0.25">
      <c r="F203" s="3"/>
      <c r="G203" s="4"/>
      <c r="H203" s="4"/>
      <c r="I203" s="4"/>
      <c r="J203" s="4"/>
    </row>
    <row r="204" spans="6:10" x14ac:dyDescent="0.25">
      <c r="F204" s="3"/>
      <c r="G204" s="4"/>
      <c r="H204" s="4"/>
      <c r="I204" s="4"/>
      <c r="J204" s="4"/>
    </row>
    <row r="205" spans="6:10" x14ac:dyDescent="0.25">
      <c r="F205" s="3"/>
      <c r="G205" s="4"/>
      <c r="H205" s="4"/>
      <c r="I205" s="4"/>
      <c r="J205" s="4"/>
    </row>
    <row r="206" spans="6:10" x14ac:dyDescent="0.25">
      <c r="F206" s="3"/>
      <c r="G206" s="4"/>
      <c r="H206" s="4"/>
      <c r="I206" s="4"/>
      <c r="J206" s="4"/>
    </row>
    <row r="207" spans="6:10" x14ac:dyDescent="0.25">
      <c r="F207" s="3"/>
      <c r="G207" s="4"/>
      <c r="H207" s="4"/>
      <c r="I207" s="4"/>
      <c r="J207" s="4"/>
    </row>
    <row r="208" spans="6:10" x14ac:dyDescent="0.25">
      <c r="F208" s="3"/>
      <c r="G208" s="4"/>
      <c r="H208" s="4"/>
      <c r="I208" s="4"/>
      <c r="J208" s="4"/>
    </row>
    <row r="209" spans="6:10" x14ac:dyDescent="0.25">
      <c r="F209" s="3"/>
      <c r="G209" s="4"/>
      <c r="H209" s="4"/>
      <c r="I209" s="4"/>
      <c r="J209" s="4"/>
    </row>
    <row r="210" spans="6:10" x14ac:dyDescent="0.25">
      <c r="F210" s="3"/>
      <c r="G210" s="4"/>
      <c r="H210" s="4"/>
      <c r="I210" s="4"/>
      <c r="J210" s="4"/>
    </row>
    <row r="211" spans="6:10" x14ac:dyDescent="0.25">
      <c r="F211" s="3"/>
      <c r="G211" s="4"/>
      <c r="H211" s="4"/>
      <c r="I211" s="4"/>
      <c r="J211" s="4"/>
    </row>
    <row r="212" spans="6:10" x14ac:dyDescent="0.25">
      <c r="F212" s="3"/>
      <c r="G212" s="4"/>
      <c r="H212" s="4"/>
      <c r="I212" s="4"/>
      <c r="J212" s="4"/>
    </row>
    <row r="213" spans="6:10" x14ac:dyDescent="0.25">
      <c r="F213" s="3"/>
      <c r="G213" s="4"/>
      <c r="H213" s="4"/>
      <c r="I213" s="4"/>
      <c r="J213" s="4"/>
    </row>
    <row r="214" spans="6:10" x14ac:dyDescent="0.25">
      <c r="F214" s="3"/>
      <c r="G214" s="4"/>
      <c r="H214" s="4"/>
      <c r="I214" s="4"/>
      <c r="J214" s="4"/>
    </row>
    <row r="215" spans="6:10" x14ac:dyDescent="0.25">
      <c r="F215" s="3"/>
      <c r="G215" s="4"/>
      <c r="H215" s="4"/>
      <c r="I215" s="4"/>
      <c r="J215" s="4"/>
    </row>
    <row r="216" spans="6:10" x14ac:dyDescent="0.25">
      <c r="F216" s="3"/>
      <c r="G216" s="4"/>
      <c r="H216" s="4"/>
      <c r="I216" s="4"/>
      <c r="J216" s="4"/>
    </row>
    <row r="217" spans="6:10" x14ac:dyDescent="0.25">
      <c r="F217" s="3"/>
      <c r="G217" s="4"/>
      <c r="H217" s="4"/>
      <c r="I217" s="4"/>
      <c r="J217" s="4"/>
    </row>
    <row r="218" spans="6:10" x14ac:dyDescent="0.25">
      <c r="F218" s="3"/>
      <c r="G218" s="4"/>
      <c r="H218" s="4"/>
      <c r="I218" s="4"/>
      <c r="J218" s="4"/>
    </row>
    <row r="219" spans="6:10" x14ac:dyDescent="0.25">
      <c r="F219" s="3"/>
      <c r="G219" s="4"/>
      <c r="H219" s="4"/>
      <c r="I219" s="4"/>
      <c r="J219" s="4"/>
    </row>
    <row r="220" spans="6:10" x14ac:dyDescent="0.25">
      <c r="F220" s="3"/>
      <c r="G220" s="4"/>
      <c r="H220" s="4"/>
      <c r="I220" s="4"/>
      <c r="J220" s="4"/>
    </row>
    <row r="221" spans="6:10" x14ac:dyDescent="0.25">
      <c r="F221" s="3"/>
      <c r="G221" s="4"/>
      <c r="H221" s="4"/>
      <c r="I221" s="4"/>
      <c r="J221" s="4"/>
    </row>
    <row r="222" spans="6:10" x14ac:dyDescent="0.25">
      <c r="F222" s="3"/>
      <c r="G222" s="4"/>
      <c r="H222" s="4"/>
      <c r="I222" s="4"/>
      <c r="J222" s="4"/>
    </row>
    <row r="223" spans="6:10" x14ac:dyDescent="0.25">
      <c r="F223" s="3"/>
      <c r="G223" s="4"/>
      <c r="H223" s="4"/>
      <c r="I223" s="4"/>
      <c r="J223" s="4"/>
    </row>
    <row r="224" spans="6:10" x14ac:dyDescent="0.25">
      <c r="F224" s="3"/>
      <c r="G224" s="4"/>
      <c r="H224" s="4"/>
      <c r="I224" s="4"/>
      <c r="J224" s="4"/>
    </row>
    <row r="225" spans="6:10" x14ac:dyDescent="0.25">
      <c r="F225" s="3"/>
      <c r="G225" s="4"/>
      <c r="H225" s="4"/>
      <c r="I225" s="4"/>
      <c r="J225" s="4"/>
    </row>
    <row r="226" spans="6:10" x14ac:dyDescent="0.25">
      <c r="F226" s="3"/>
      <c r="G226" s="4"/>
      <c r="H226" s="4"/>
      <c r="I226" s="4"/>
      <c r="J226" s="4"/>
    </row>
    <row r="227" spans="6:10" x14ac:dyDescent="0.25">
      <c r="F227" s="3"/>
      <c r="G227" s="4"/>
      <c r="H227" s="4"/>
      <c r="I227" s="4"/>
      <c r="J227" s="4"/>
    </row>
    <row r="228" spans="6:10" x14ac:dyDescent="0.25">
      <c r="F228" s="3"/>
      <c r="G228" s="4"/>
      <c r="H228" s="4"/>
      <c r="I228" s="4"/>
      <c r="J228" s="4"/>
    </row>
    <row r="229" spans="6:10" x14ac:dyDescent="0.25">
      <c r="F229" s="3"/>
      <c r="G229" s="4"/>
      <c r="H229" s="4"/>
      <c r="I229" s="4"/>
      <c r="J229" s="4"/>
    </row>
    <row r="230" spans="6:10" x14ac:dyDescent="0.25">
      <c r="F230" s="3"/>
      <c r="G230" s="4"/>
      <c r="H230" s="4"/>
      <c r="I230" s="4"/>
      <c r="J230" s="4"/>
    </row>
    <row r="231" spans="6:10" x14ac:dyDescent="0.25">
      <c r="F231" s="3"/>
      <c r="G231" s="4"/>
      <c r="H231" s="4"/>
      <c r="I231" s="4"/>
      <c r="J231" s="4"/>
    </row>
    <row r="232" spans="6:10" x14ac:dyDescent="0.25">
      <c r="F232" s="3"/>
      <c r="G232" s="4"/>
      <c r="H232" s="4"/>
      <c r="I232" s="4"/>
      <c r="J232" s="4"/>
    </row>
    <row r="233" spans="6:10" x14ac:dyDescent="0.25">
      <c r="F233" s="3"/>
      <c r="G233" s="4"/>
      <c r="H233" s="4"/>
      <c r="I233" s="4"/>
      <c r="J233" s="4"/>
    </row>
    <row r="234" spans="6:10" x14ac:dyDescent="0.25">
      <c r="F234" s="3"/>
      <c r="G234" s="4"/>
      <c r="H234" s="4"/>
      <c r="I234" s="4"/>
      <c r="J234" s="4"/>
    </row>
    <row r="235" spans="6:10" x14ac:dyDescent="0.25">
      <c r="F235" s="3"/>
      <c r="G235" s="4"/>
      <c r="H235" s="4"/>
      <c r="I235" s="4"/>
      <c r="J235" s="4"/>
    </row>
    <row r="236" spans="6:10" x14ac:dyDescent="0.25">
      <c r="F236" s="3"/>
      <c r="G236" s="4"/>
      <c r="H236" s="4"/>
      <c r="I236" s="4"/>
      <c r="J236" s="4"/>
    </row>
    <row r="237" spans="6:10" x14ac:dyDescent="0.25">
      <c r="F237" s="3"/>
      <c r="G237" s="4"/>
      <c r="H237" s="4"/>
      <c r="I237" s="4"/>
      <c r="J237" s="4"/>
    </row>
    <row r="238" spans="6:10" x14ac:dyDescent="0.25">
      <c r="F238" s="3"/>
      <c r="G238" s="4"/>
      <c r="H238" s="4"/>
      <c r="I238" s="4"/>
      <c r="J238" s="4"/>
    </row>
    <row r="239" spans="6:10" x14ac:dyDescent="0.25">
      <c r="F239" s="3"/>
      <c r="G239" s="4"/>
      <c r="H239" s="4"/>
      <c r="I239" s="4"/>
      <c r="J239" s="4"/>
    </row>
    <row r="240" spans="6:10" x14ac:dyDescent="0.25">
      <c r="F240" s="3"/>
      <c r="G240" s="4"/>
      <c r="H240" s="4"/>
      <c r="I240" s="4"/>
      <c r="J240" s="4"/>
    </row>
    <row r="241" spans="6:10" x14ac:dyDescent="0.25">
      <c r="F241" s="3"/>
      <c r="G241" s="4"/>
      <c r="H241" s="4"/>
      <c r="I241" s="4"/>
      <c r="J241" s="4"/>
    </row>
    <row r="242" spans="6:10" x14ac:dyDescent="0.25">
      <c r="F242" s="3"/>
      <c r="G242" s="4"/>
      <c r="H242" s="4"/>
      <c r="I242" s="4"/>
      <c r="J242" s="4"/>
    </row>
    <row r="243" spans="6:10" x14ac:dyDescent="0.25">
      <c r="F243" s="3"/>
      <c r="G243" s="4"/>
      <c r="H243" s="4"/>
      <c r="I243" s="4"/>
      <c r="J243" s="4"/>
    </row>
    <row r="244" spans="6:10" x14ac:dyDescent="0.25">
      <c r="F244" s="3"/>
      <c r="G244" s="4"/>
      <c r="H244" s="4"/>
      <c r="I244" s="4"/>
      <c r="J244" s="4"/>
    </row>
    <row r="245" spans="6:10" x14ac:dyDescent="0.25">
      <c r="F245" s="3"/>
      <c r="G245" s="4"/>
      <c r="H245" s="4"/>
      <c r="I245" s="4"/>
      <c r="J245" s="4"/>
    </row>
    <row r="246" spans="6:10" x14ac:dyDescent="0.25">
      <c r="F246" s="3"/>
      <c r="G246" s="4"/>
      <c r="H246" s="4"/>
      <c r="I246" s="4"/>
      <c r="J246" s="4"/>
    </row>
    <row r="247" spans="6:10" x14ac:dyDescent="0.25">
      <c r="F247" s="3"/>
      <c r="G247" s="4"/>
      <c r="H247" s="4"/>
      <c r="I247" s="4"/>
      <c r="J247" s="4"/>
    </row>
    <row r="248" spans="6:10" x14ac:dyDescent="0.25">
      <c r="F248" s="3"/>
      <c r="G248" s="4"/>
      <c r="H248" s="4"/>
      <c r="I248" s="4"/>
      <c r="J248" s="4"/>
    </row>
    <row r="249" spans="6:10" x14ac:dyDescent="0.25">
      <c r="F249" s="3"/>
      <c r="G249" s="4"/>
      <c r="H249" s="4"/>
      <c r="I249" s="4"/>
      <c r="J249" s="4"/>
    </row>
    <row r="250" spans="6:10" x14ac:dyDescent="0.25">
      <c r="F250" s="3"/>
      <c r="G250" s="4"/>
      <c r="H250" s="4"/>
      <c r="I250" s="4"/>
      <c r="J250" s="4"/>
    </row>
    <row r="251" spans="6:10" x14ac:dyDescent="0.25">
      <c r="F251" s="3"/>
      <c r="G251" s="4"/>
      <c r="H251" s="4"/>
      <c r="I251" s="4"/>
      <c r="J251" s="4"/>
    </row>
    <row r="252" spans="6:10" x14ac:dyDescent="0.25">
      <c r="F252" s="3"/>
      <c r="G252" s="4"/>
      <c r="H252" s="4"/>
      <c r="I252" s="4"/>
      <c r="J252" s="4"/>
    </row>
    <row r="253" spans="6:10" x14ac:dyDescent="0.25">
      <c r="F253" s="3"/>
      <c r="G253" s="4"/>
      <c r="H253" s="4"/>
      <c r="I253" s="4"/>
      <c r="J253" s="4"/>
    </row>
    <row r="254" spans="6:10" x14ac:dyDescent="0.25">
      <c r="F254" s="3"/>
      <c r="G254" s="4"/>
      <c r="H254" s="4"/>
      <c r="I254" s="4"/>
      <c r="J254" s="4"/>
    </row>
    <row r="255" spans="6:10" x14ac:dyDescent="0.25">
      <c r="F255" s="3"/>
      <c r="G255" s="4"/>
      <c r="H255" s="4"/>
      <c r="I255" s="4"/>
      <c r="J255" s="4"/>
    </row>
    <row r="256" spans="6:10" x14ac:dyDescent="0.25">
      <c r="F256" s="3"/>
      <c r="G256" s="4"/>
      <c r="H256" s="4"/>
      <c r="I256" s="4"/>
      <c r="J256" s="4"/>
    </row>
    <row r="257" spans="6:10" x14ac:dyDescent="0.25">
      <c r="F257" s="3"/>
      <c r="G257" s="4"/>
      <c r="H257" s="4"/>
      <c r="I257" s="4"/>
      <c r="J257" s="4"/>
    </row>
    <row r="258" spans="6:10" x14ac:dyDescent="0.25">
      <c r="F258" s="3"/>
      <c r="G258" s="4"/>
      <c r="H258" s="4"/>
      <c r="I258" s="4"/>
      <c r="J258" s="4"/>
    </row>
    <row r="259" spans="6:10" x14ac:dyDescent="0.25">
      <c r="F259" s="3"/>
      <c r="G259" s="4"/>
      <c r="H259" s="4"/>
      <c r="I259" s="4"/>
      <c r="J259" s="4"/>
    </row>
    <row r="260" spans="6:10" x14ac:dyDescent="0.25">
      <c r="F260" s="3"/>
      <c r="G260" s="4"/>
      <c r="H260" s="4"/>
      <c r="I260" s="4"/>
      <c r="J260" s="4"/>
    </row>
    <row r="261" spans="6:10" x14ac:dyDescent="0.25">
      <c r="F261" s="3"/>
      <c r="G261" s="4"/>
      <c r="H261" s="4"/>
      <c r="I261" s="4"/>
      <c r="J261" s="4"/>
    </row>
    <row r="262" spans="6:10" x14ac:dyDescent="0.25">
      <c r="F262" s="3"/>
      <c r="G262" s="4"/>
      <c r="H262" s="4"/>
      <c r="I262" s="4"/>
      <c r="J262" s="4"/>
    </row>
    <row r="263" spans="6:10" x14ac:dyDescent="0.25">
      <c r="F263" s="3"/>
      <c r="G263" s="4"/>
      <c r="H263" s="4"/>
      <c r="I263" s="4"/>
      <c r="J263" s="4"/>
    </row>
    <row r="264" spans="6:10" x14ac:dyDescent="0.25">
      <c r="F264" s="3"/>
      <c r="G264" s="4"/>
      <c r="H264" s="4"/>
      <c r="I264" s="4"/>
      <c r="J264" s="4"/>
    </row>
    <row r="265" spans="6:10" x14ac:dyDescent="0.25">
      <c r="F265" s="3"/>
      <c r="G265" s="4"/>
      <c r="H265" s="4"/>
      <c r="I265" s="4"/>
      <c r="J265" s="4"/>
    </row>
    <row r="266" spans="6:10" x14ac:dyDescent="0.25">
      <c r="F266" s="3"/>
      <c r="G266" s="4"/>
      <c r="H266" s="4"/>
      <c r="I266" s="4"/>
      <c r="J266" s="4"/>
    </row>
    <row r="267" spans="6:10" x14ac:dyDescent="0.25">
      <c r="F267" s="3"/>
      <c r="G267" s="4"/>
      <c r="H267" s="4"/>
      <c r="I267" s="4"/>
      <c r="J267" s="4"/>
    </row>
    <row r="268" spans="6:10" x14ac:dyDescent="0.25">
      <c r="F268" s="3"/>
      <c r="G268" s="4"/>
      <c r="H268" s="4"/>
      <c r="I268" s="4"/>
      <c r="J268" s="4"/>
    </row>
    <row r="269" spans="6:10" x14ac:dyDescent="0.25">
      <c r="F269" s="3"/>
      <c r="G269" s="4"/>
      <c r="H269" s="4"/>
      <c r="I269" s="4"/>
      <c r="J269" s="4"/>
    </row>
    <row r="270" spans="6:10" x14ac:dyDescent="0.25">
      <c r="F270" s="3"/>
      <c r="G270" s="4"/>
      <c r="H270" s="4"/>
      <c r="I270" s="4"/>
      <c r="J270" s="4"/>
    </row>
    <row r="271" spans="6:10" x14ac:dyDescent="0.25">
      <c r="F271" s="3"/>
      <c r="G271" s="4"/>
      <c r="H271" s="4"/>
      <c r="I271" s="4"/>
      <c r="J271" s="4"/>
    </row>
    <row r="272" spans="6:10" x14ac:dyDescent="0.25">
      <c r="F272" s="3"/>
      <c r="G272" s="4"/>
      <c r="H272" s="4"/>
      <c r="I272" s="4"/>
      <c r="J272" s="4"/>
    </row>
    <row r="273" spans="6:10" x14ac:dyDescent="0.25">
      <c r="F273" s="3"/>
      <c r="G273" s="4"/>
      <c r="H273" s="4"/>
      <c r="I273" s="4"/>
      <c r="J273" s="4"/>
    </row>
    <row r="274" spans="6:10" x14ac:dyDescent="0.25">
      <c r="F274" s="3"/>
      <c r="G274" s="4"/>
      <c r="H274" s="4"/>
      <c r="I274" s="4"/>
      <c r="J274" s="4"/>
    </row>
  </sheetData>
  <mergeCells count="2">
    <mergeCell ref="K11:M11"/>
    <mergeCell ref="N11:Q1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a2ce8f2-2204-4367-a41c-b735e7c03037">
      <Terms xmlns="http://schemas.microsoft.com/office/infopath/2007/PartnerControls"/>
    </lcf76f155ced4ddcb4097134ff3c332f>
    <TaxCatchAll xmlns="f53cdae7-58e9-463a-80c4-ff1f1a52caeb" xsi:nil="true"/>
    <Person xmlns="7a2ce8f2-2204-4367-a41c-b735e7c03037">
      <UserInfo>
        <DisplayName/>
        <AccountId xsi:nil="true"/>
        <AccountType/>
      </UserInfo>
    </Person>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F11AF2F54683D48B47D51E7C5C20D0A" ma:contentTypeVersion="21" ma:contentTypeDescription="Create a new document." ma:contentTypeScope="" ma:versionID="6c3ec6b3112fff6afcb2e1bceac7318f">
  <xsd:schema xmlns:xsd="http://www.w3.org/2001/XMLSchema" xmlns:xs="http://www.w3.org/2001/XMLSchema" xmlns:p="http://schemas.microsoft.com/office/2006/metadata/properties" xmlns:ns2="7a2ce8f2-2204-4367-a41c-b735e7c03037" xmlns:ns3="f53cdae7-58e9-463a-80c4-ff1f1a52caeb" targetNamespace="http://schemas.microsoft.com/office/2006/metadata/properties" ma:root="true" ma:fieldsID="1733b412cddd9f821d661af390973bad" ns2:_="" ns3:_="">
    <xsd:import namespace="7a2ce8f2-2204-4367-a41c-b735e7c03037"/>
    <xsd:import namespace="f53cdae7-58e9-463a-80c4-ff1f1a52cae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element ref="ns2:Pers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ce8f2-2204-4367-a41c-b735e7c030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af481388-e4f2-439f-bf9b-2973949102f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Person" ma:index="26" nillable="true" ma:displayName="Person" ma:format="Dropdown" ma:list="UserInfo" ma:SharePointGroup="0" ma:internalName="Pers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53cdae7-58e9-463a-80c4-ff1f1a52cae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80ac432-b52e-4b43-bc4d-225ae3d48219}" ma:internalName="TaxCatchAll" ma:showField="CatchAllData" ma:web="f53cdae7-58e9-463a-80c4-ff1f1a52ca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C005E5-6C9D-412C-8DD7-5586655D1D92}">
  <ds:schemaRefs>
    <ds:schemaRef ds:uri="http://schemas.microsoft.com/office/2006/metadata/properties"/>
    <ds:schemaRef ds:uri="http://schemas.microsoft.com/office/infopath/2007/PartnerControls"/>
    <ds:schemaRef ds:uri="7a2ce8f2-2204-4367-a41c-b735e7c03037"/>
    <ds:schemaRef ds:uri="f53cdae7-58e9-463a-80c4-ff1f1a52caeb"/>
  </ds:schemaRefs>
</ds:datastoreItem>
</file>

<file path=customXml/itemProps2.xml><?xml version="1.0" encoding="utf-8"?>
<ds:datastoreItem xmlns:ds="http://schemas.openxmlformats.org/officeDocument/2006/customXml" ds:itemID="{D927CF04-E392-4E7C-8CA3-6B3F34E954EC}">
  <ds:schemaRefs>
    <ds:schemaRef ds:uri="http://schemas.microsoft.com/sharepoint/v3/contenttype/forms"/>
  </ds:schemaRefs>
</ds:datastoreItem>
</file>

<file path=customXml/itemProps3.xml><?xml version="1.0" encoding="utf-8"?>
<ds:datastoreItem xmlns:ds="http://schemas.openxmlformats.org/officeDocument/2006/customXml" ds:itemID="{CB3A6BE4-A4C7-4052-A6A6-A16492FCDBE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 for use</vt:lpstr>
      <vt:lpstr>Example sampling worksheet</vt:lpstr>
      <vt:lpstr>AMP PPS sampling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Poyer  | Tropical Health</dc:creator>
  <cp:lastModifiedBy>Steve Poyer  | Tropical Health</cp:lastModifiedBy>
  <dcterms:created xsi:type="dcterms:W3CDTF">2025-03-20T09:58:51Z</dcterms:created>
  <dcterms:modified xsi:type="dcterms:W3CDTF">2025-12-18T10:12:04Z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0x010100BF11AF2F54683D48B47D51E7C5C20D0A</vt:lpwstr>
  </property>
</Properties>
</file>