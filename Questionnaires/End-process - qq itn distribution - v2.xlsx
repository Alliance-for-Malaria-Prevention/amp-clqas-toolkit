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ropichealthcom.sharepoint.com/sites/Projects77/Projects  Open/C033 - OPITACA/60 - Implementation/WS3 - Data and cLQAS/TH adaptable tools/Analysis scripts/clqas-tools/Questionnaires/"/>
    </mc:Choice>
  </mc:AlternateContent>
  <xr:revisionPtr revIDLastSave="1114" documentId="8_{AC833B33-AB72-4676-9A28-9115C78E4DA9}" xr6:coauthVersionLast="47" xr6:coauthVersionMax="47" xr10:uidLastSave="{CCD4006C-DCC0-46BC-9EDD-4EB327C58386}"/>
  <bookViews>
    <workbookView xWindow="-110" yWindow="-110" windowWidth="19420" windowHeight="10300" xr2:uid="{00000000-000D-0000-FFFF-FFFF00000000}"/>
  </bookViews>
  <sheets>
    <sheet name="survey" sheetId="1" r:id="rId1"/>
    <sheet name="choices" sheetId="2" r:id="rId2"/>
    <sheet name="settings" sheetId="3" r:id="rId3"/>
  </sheets>
  <definedNames>
    <definedName name="_xlnm._FilterDatabase" localSheetId="0" hidden="1">survey!$A$1:$O$176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 l="1"/>
</calcChain>
</file>

<file path=xl/sharedStrings.xml><?xml version="1.0" encoding="utf-8"?>
<sst xmlns="http://schemas.openxmlformats.org/spreadsheetml/2006/main" count="962" uniqueCount="563">
  <si>
    <t>form_title</t>
  </si>
  <si>
    <t>form_id</t>
  </si>
  <si>
    <t>instance_name</t>
  </si>
  <si>
    <t>version</t>
  </si>
  <si>
    <t>default_language</t>
  </si>
  <si>
    <t>end</t>
  </si>
  <si>
    <t>end_process_ques</t>
  </si>
  <si>
    <t>type</t>
  </si>
  <si>
    <t>name</t>
  </si>
  <si>
    <t>label::English</t>
  </si>
  <si>
    <t>repeat_count</t>
  </si>
  <si>
    <t>choice_filter</t>
  </si>
  <si>
    <t>constraint</t>
  </si>
  <si>
    <t>required</t>
  </si>
  <si>
    <t>appearance</t>
  </si>
  <si>
    <t>default</t>
  </si>
  <si>
    <t>relevant</t>
  </si>
  <si>
    <t>read_only</t>
  </si>
  <si>
    <t>calculation</t>
  </si>
  <si>
    <t>list_name</t>
  </si>
  <si>
    <t>start</t>
  </si>
  <si>
    <t>endtime</t>
  </si>
  <si>
    <t>deviceid</t>
  </si>
  <si>
    <t>calculate</t>
  </si>
  <si>
    <t>note</t>
  </si>
  <si>
    <t>integer</t>
  </si>
  <si>
    <t>select_one region_list</t>
  </si>
  <si>
    <t>select_one district_list</t>
  </si>
  <si>
    <t>region_list</t>
  </si>
  <si>
    <t>Region1</t>
  </si>
  <si>
    <t>Region2</t>
  </si>
  <si>
    <t>Region3</t>
  </si>
  <si>
    <t>district_list</t>
  </si>
  <si>
    <t>District1</t>
  </si>
  <si>
    <t>District2</t>
  </si>
  <si>
    <t>District3</t>
  </si>
  <si>
    <t>subdistr_list</t>
  </si>
  <si>
    <t>select_one subdistr_list</t>
  </si>
  <si>
    <t>Subdistrict1</t>
  </si>
  <si>
    <t>Subdistrict2</t>
  </si>
  <si>
    <t>Subdistrict3</t>
  </si>
  <si>
    <t>select_one cluster_list</t>
  </si>
  <si>
    <t>cluster_list</t>
  </si>
  <si>
    <t>hh_n</t>
  </si>
  <si>
    <t>Enter the sequential count of households approached in this cluster</t>
  </si>
  <si>
    <t>Select your region:</t>
  </si>
  <si>
    <t>Select your district:</t>
  </si>
  <si>
    <t>Select your sub-district:</t>
  </si>
  <si>
    <t>For example, if this is the fifth house you have approached in this cluster, enter 5</t>
  </si>
  <si>
    <t>hh_visit_detail_list</t>
  </si>
  <si>
    <t>Refused</t>
  </si>
  <si>
    <t>begin group</t>
  </si>
  <si>
    <t>table-list</t>
  </si>
  <si>
    <t>geopoint</t>
  </si>
  <si>
    <t>GPS</t>
  </si>
  <si>
    <t>end group</t>
  </si>
  <si>
    <t>text</t>
  </si>
  <si>
    <t>hohh_name</t>
  </si>
  <si>
    <t>What is the name of the head of household?</t>
  </si>
  <si>
    <t>numbers</t>
  </si>
  <si>
    <t>phone_n</t>
  </si>
  <si>
    <t>What is the contact number for the household?</t>
  </si>
  <si>
    <t>barcode</t>
  </si>
  <si>
    <t>voucher_n</t>
  </si>
  <si>
    <t>hhr_voucher</t>
  </si>
  <si>
    <t>select_one voucher_list</t>
  </si>
  <si>
    <t>voucher_list</t>
  </si>
  <si>
    <t>Yes</t>
  </si>
  <si>
    <t>Don't know</t>
  </si>
  <si>
    <t xml:space="preserve">Scan the QR code  </t>
  </si>
  <si>
    <t>Enter the voucher number</t>
  </si>
  <si>
    <t>Introduction and informed consent</t>
  </si>
  <si>
    <t>select_one yn_list</t>
  </si>
  <si>
    <t>yn_list</t>
  </si>
  <si>
    <t>No</t>
  </si>
  <si>
    <t>introduced</t>
  </si>
  <si>
    <t>participate</t>
  </si>
  <si>
    <t>Enter the GPS coordinates</t>
  </si>
  <si>
    <t>note_farewell_n</t>
  </si>
  <si>
    <t>begin repeat</t>
  </si>
  <si>
    <t>repeat_hh_residents</t>
  </si>
  <si>
    <t>gender</t>
  </si>
  <si>
    <t>select_one mf_list</t>
  </si>
  <si>
    <t>mf_list</t>
  </si>
  <si>
    <t>Male</t>
  </si>
  <si>
    <t>Female</t>
  </si>
  <si>
    <t>.&lt;120 or . = 999</t>
  </si>
  <si>
    <t>Age must be under 120 years</t>
  </si>
  <si>
    <t>age_y</t>
  </si>
  <si>
    <t>age_m</t>
  </si>
  <si>
    <t>.&lt;12</t>
  </si>
  <si>
    <t>Age in months cannot be more than 11 months</t>
  </si>
  <si>
    <t>${age_y} = 0</t>
  </si>
  <si>
    <t>eligible</t>
  </si>
  <si>
    <t>end repeat</t>
  </si>
  <si>
    <t>pregnant</t>
  </si>
  <si>
    <t>note_elig</t>
  </si>
  <si>
    <t>note_under5</t>
  </si>
  <si>
    <t>note_olderchild</t>
  </si>
  <si>
    <t>note_adult</t>
  </si>
  <si>
    <t>date_interview</t>
  </si>
  <si>
    <t>media::image::English</t>
  </si>
  <si>
    <t>Additional variables use for digital matching</t>
  </si>
  <si>
    <t>Respondent home and consented</t>
  </si>
  <si>
    <t>Nobody home (after 3 visits)</t>
  </si>
  <si>
    <t>yes</t>
  </si>
  <si>
    <t>yndk_list</t>
  </si>
  <si>
    <t>select_one yndk_list</t>
  </si>
  <si>
    <t>visited</t>
  </si>
  <si>
    <t>select_one notreg_list</t>
  </si>
  <si>
    <t>notreg_list</t>
  </si>
  <si>
    <t>Other (specify)</t>
  </si>
  <si>
    <t>notreg</t>
  </si>
  <si>
    <t>oth_notreg</t>
  </si>
  <si>
    <t>Read responses</t>
  </si>
  <si>
    <t>Why was this household not registered for the campaign?</t>
  </si>
  <si>
    <t>No one was at home when the HHR team were in the community</t>
  </si>
  <si>
    <t>Refused to be registered when HHR team came</t>
  </si>
  <si>
    <t>Respondent does not know why household wasn’t registered</t>
  </si>
  <si>
    <t>Specify other reason</t>
  </si>
  <si>
    <t>rec_seen</t>
  </si>
  <si>
    <t>Can you show us the document?</t>
  </si>
  <si>
    <t>hhr_record</t>
  </si>
  <si>
    <t>rec_elig</t>
  </si>
  <si>
    <t>How many eligible people are noted on the document?</t>
  </si>
  <si>
    <t>rec_itn</t>
  </si>
  <si>
    <t>How many ITNs are noted on the document?</t>
  </si>
  <si>
    <t>If people not listed, enter 98</t>
  </si>
  <si>
    <t>If ITNs not listed, enter 98</t>
  </si>
  <si>
    <t xml:space="preserve">Did the HHR team tell you either the number of eligible household members or the number of ITNs assigned to this household for the distribution? </t>
  </si>
  <si>
    <t>${hhr_record} = '1'</t>
  </si>
  <si>
    <t>hhr_verbal</t>
  </si>
  <si>
    <t>verbal_elig</t>
  </si>
  <si>
    <t>verbal_itn</t>
  </si>
  <si>
    <t>If not stated or don't recall, enter 98</t>
  </si>
  <si>
    <t>What did the HHR team say was the number of eligible people in this household?</t>
  </si>
  <si>
    <t>What did the HHR team say was the number of ITNs assigned to this household for the distribution?</t>
  </si>
  <si>
    <t>${hhr_verbal} = '1'</t>
  </si>
  <si>
    <t>hhr_u5</t>
  </si>
  <si>
    <r>
      <t xml:space="preserve">Number of children under 5 must be less than </t>
    </r>
    <r>
      <rPr>
        <sz val="11"/>
        <color rgb="FF00B0F0"/>
        <rFont val="Calibri"/>
        <family val="2"/>
        <scheme val="minor"/>
      </rPr>
      <t>10</t>
    </r>
  </si>
  <si>
    <t>When the HHR team visited, how many children aged 5 to 17 years were living in the household?</t>
  </si>
  <si>
    <t>hhr_olderchild</t>
  </si>
  <si>
    <r>
      <t xml:space="preserve">Number of children aged 5 to 17 must be less than </t>
    </r>
    <r>
      <rPr>
        <sz val="11"/>
        <color rgb="FF00B0F0"/>
        <rFont val="Calibri"/>
        <family val="2"/>
        <scheme val="minor"/>
      </rPr>
      <t>10</t>
    </r>
  </si>
  <si>
    <t>hhr_u5_elig</t>
  </si>
  <si>
    <t>hhr_olderch_elig</t>
  </si>
  <si>
    <t>hhr_adult</t>
  </si>
  <si>
    <t>hhr_adult_elig</t>
  </si>
  <si>
    <t>When the HHR team visited, how many adults aged 18 years and older were living in the household?</t>
  </si>
  <si>
    <r>
      <t xml:space="preserve">Number of adults aged 18 years and older must be less than </t>
    </r>
    <r>
      <rPr>
        <sz val="11"/>
        <color rgb="FF00B0F0"/>
        <rFont val="Calibri"/>
        <family val="2"/>
        <scheme val="minor"/>
      </rPr>
      <t>10</t>
    </r>
  </si>
  <si>
    <t>${hhr_u5_elig} + ${hhr_olderch_elig} + ${hhr_adult_elig}</t>
  </si>
  <si>
    <t>elig_check</t>
  </si>
  <si>
    <t xml:space="preserve">Check that you have correctly recorded the number of eligible people in each age group. </t>
  </si>
  <si>
    <t>itn_elig</t>
  </si>
  <si>
    <t>Did this household receive any ITNs from the recent campaign?</t>
  </si>
  <si>
    <t>recvd_itn</t>
  </si>
  <si>
    <t>Respondent does not know why household didn’t get ITNs</t>
  </si>
  <si>
    <t>How many ITNs did you receive from the recent campaign, including any that may no longer be in your possession?</t>
  </si>
  <si>
    <t>itn_recvd_n</t>
  </si>
  <si>
    <t>Mismatch in ITN number received during the distribution</t>
  </si>
  <si>
    <t>select_one mismatch_list</t>
  </si>
  <si>
    <t>reason_mismatch</t>
  </si>
  <si>
    <t>mismatch_list</t>
  </si>
  <si>
    <t>Distribution staff ran out of ITNs</t>
  </si>
  <si>
    <t>Possible error in household’s recall of HHR registration process</t>
  </si>
  <si>
    <t>Unable to determine reason for difference</t>
  </si>
  <si>
    <t>descr_mismatch</t>
  </si>
  <si>
    <t>How many of the ITNs you received from the campaign are still in your possession?</t>
  </si>
  <si>
    <t>How many of the ITNs that you received from the campaign were slept under last night?</t>
  </si>
  <si>
    <t>ncitn_n</t>
  </si>
  <si>
    <t>slept_ncitn</t>
  </si>
  <si>
    <t>confirm_total</t>
  </si>
  <si>
    <t>HHR outcome reported verbally</t>
  </si>
  <si>
    <t>Written record of HHR outcome</t>
  </si>
  <si>
    <t>Other ITNs in the household</t>
  </si>
  <si>
    <t>slept_citn</t>
  </si>
  <si>
    <t>Details of this person</t>
  </si>
  <si>
    <t>Where did you hear information about the date and/or the location for the ITN distribution?</t>
  </si>
  <si>
    <t>Aware of neither date nor location</t>
  </si>
  <si>
    <t>Aware of date and location</t>
  </si>
  <si>
    <t>Campaign-related staff (e.g. registration and/or distribution team)</t>
  </si>
  <si>
    <t>Town announcer</t>
  </si>
  <si>
    <t>Community or religious leader</t>
  </si>
  <si>
    <t>Family or friends</t>
  </si>
  <si>
    <t>Radio</t>
  </si>
  <si>
    <t>TV</t>
  </si>
  <si>
    <t>SMS</t>
  </si>
  <si>
    <t>Did the ITN distribution staff give you any information about ITNs or malaria when you received your nets?</t>
  </si>
  <si>
    <t>Sleep under your net every night</t>
  </si>
  <si>
    <t>Nets prevent malaria</t>
  </si>
  <si>
    <t>final_comments</t>
  </si>
  <si>
    <t xml:space="preserve">${visited} = '1' </t>
  </si>
  <si>
    <t>Please note any problems you had completing this interview.</t>
  </si>
  <si>
    <t>calc_hh_id</t>
  </si>
  <si>
    <t>group_intro_ic</t>
  </si>
  <si>
    <t>group_resident_agesex</t>
  </si>
  <si>
    <t>group_resident_itnuse</t>
  </si>
  <si>
    <t>select_one nonuse_list</t>
  </si>
  <si>
    <t>nonuse_list</t>
  </si>
  <si>
    <t>Not enough ITNs to cover sleeping space</t>
  </si>
  <si>
    <t>Don’t like smell / irritation</t>
  </si>
  <si>
    <t>Too hot</t>
  </si>
  <si>
    <t>There is no malaria</t>
  </si>
  <si>
    <t>No mosquitos</t>
  </si>
  <si>
    <t>Don’t like using an ITN</t>
  </si>
  <si>
    <t>Slept outside</t>
  </si>
  <si>
    <t>Don’t know</t>
  </si>
  <si>
    <t>reason_noitn</t>
  </si>
  <si>
    <t>detailed_reason_noitn</t>
  </si>
  <si>
    <t>(${calc_hh_id}*100) + position(..)</t>
  </si>
  <si>
    <t>concat(${calc_hh_id},'_', ${date_interview})</t>
  </si>
  <si>
    <t>group_matching</t>
  </si>
  <si>
    <t>note_roster</t>
  </si>
  <si>
    <t>group_roster_count</t>
  </si>
  <si>
    <t>group_consenting_hh</t>
  </si>
  <si>
    <t>group_gps_coords</t>
  </si>
  <si>
    <t>group_written_rec</t>
  </si>
  <si>
    <t>group_oral_rec</t>
  </si>
  <si>
    <t>group_agegr</t>
  </si>
  <si>
    <t>group_no_itn</t>
  </si>
  <si>
    <t>group_check_nmbr</t>
  </si>
  <si>
    <t>group_wrong_itn</t>
  </si>
  <si>
    <t>group_status_citn</t>
  </si>
  <si>
    <t>group_ncitns</t>
  </si>
  <si>
    <t>region</t>
  </si>
  <si>
    <t>district</t>
  </si>
  <si>
    <t>subdistrict</t>
  </si>
  <si>
    <t>cluster</t>
  </si>
  <si>
    <t>field-list</t>
  </si>
  <si>
    <t>reason_nogps</t>
  </si>
  <si>
    <t>${geopoint} = ''</t>
  </si>
  <si>
    <t>${hhr_voucher} = '1'</t>
  </si>
  <si>
    <t>People living in the household</t>
  </si>
  <si>
    <t>group_u5</t>
  </si>
  <si>
    <t>Under five years old</t>
  </si>
  <si>
    <t>Children between 5 to 17 years</t>
  </si>
  <si>
    <t>group_olderchild</t>
  </si>
  <si>
    <t>group_adult</t>
  </si>
  <si>
    <t>Adults 18 years and older</t>
  </si>
  <si>
    <t>calc_elig_count</t>
  </si>
  <si>
    <t>calc_under5_count</t>
  </si>
  <si>
    <t>calc_olderchild_count</t>
  </si>
  <si>
    <t>calc_adult_count</t>
  </si>
  <si>
    <t>calc_allelig</t>
  </si>
  <si>
    <t>calc_under5</t>
  </si>
  <si>
    <t>calc_olderchild</t>
  </si>
  <si>
    <t>calc_adult</t>
  </si>
  <si>
    <t>sum(${calc_allelig})</t>
  </si>
  <si>
    <t>sum(${calc_under5})</t>
  </si>
  <si>
    <t>sum(${calc_olderchild})</t>
  </si>
  <si>
    <t>sum(${calc_adult})</t>
  </si>
  <si>
    <t>calc_id_field</t>
  </si>
  <si>
    <t xml:space="preserve">${hhr_record} = '0' or ${rec_seen} = '0' </t>
  </si>
  <si>
    <t>oth_noitn</t>
  </si>
  <si>
    <t>${ncitn_n}&gt;0</t>
  </si>
  <si>
    <t>calc_hhr_elig_count</t>
  </si>
  <si>
    <t>note_intro</t>
  </si>
  <si>
    <t>group_hh_location</t>
  </si>
  <si>
    <t>Household identification</t>
  </si>
  <si>
    <t>Select your cluster:</t>
  </si>
  <si>
    <t>Explain why you did not record GPS coordinates for this household.</t>
  </si>
  <si>
    <t>The respondent has agreed to participate.</t>
  </si>
  <si>
    <t>present</t>
  </si>
  <si>
    <t>${present} = '1'</t>
  </si>
  <si>
    <t>voucher_qr</t>
  </si>
  <si>
    <t>Did the household receive a coupon or voucher from the HHR team?</t>
  </si>
  <si>
    <t>group_sec1_roster</t>
  </si>
  <si>
    <t>Section 1. People living in the household</t>
  </si>
  <si>
    <t>Is ${name} male or female?</t>
  </si>
  <si>
    <t>How old is ${name} in years?</t>
  </si>
  <si>
    <t>How old is ${name} in months?</t>
  </si>
  <si>
    <t>Is ${name} currently pregnant?</t>
  </si>
  <si>
    <t>Did ${name} stay here last night?</t>
  </si>
  <si>
    <t>Did ${name} sleep under an ITN last night?</t>
  </si>
  <si>
    <t>Why did ${name} not sleep under an ITN last night?</t>
  </si>
  <si>
    <t>stay</t>
  </si>
  <si>
    <t>use_itn</t>
  </si>
  <si>
    <t>Specify the other reason why ${name} did not sleep under an ITN last night.</t>
  </si>
  <si>
    <t>Describe any additional details of the reason for non-use.</t>
  </si>
  <si>
    <t>${use_itn} = '0'</t>
  </si>
  <si>
    <t>Children under 5 years of age: ${calc_under5_count}</t>
  </si>
  <si>
    <t>Adults (over 18 years of age): ${calc_adult_count}</t>
  </si>
  <si>
    <t>${stay} = '1'</t>
  </si>
  <si>
    <t>group_hhr_visit_yes</t>
  </si>
  <si>
    <t>When the HHR team visited before the campaign, did they give you a written record of their visit with either the number of eligible household members or the number of ITNs assigned to this household for the distribution?</t>
  </si>
  <si>
    <t>HHR occurred</t>
  </si>
  <si>
    <t>${rec_seen} = '1'</t>
  </si>
  <si>
    <t>note_itn_assign1</t>
  </si>
  <si>
    <t>note_itn_assign2</t>
  </si>
  <si>
    <t>calc_rec_itn</t>
  </si>
  <si>
    <t>calc_verbal_itn</t>
  </si>
  <si>
    <t>calc_hhr_elig_itn</t>
  </si>
  <si>
    <t>${calc_rec_itn}&gt;0 or ${calc_verbal_itn}&gt;0</t>
  </si>
  <si>
    <t>group_sec2_hhr_visit</t>
  </si>
  <si>
    <t>group_sec3_itn_distr</t>
  </si>
  <si>
    <t>Section 2. Outcome of HHR</t>
  </si>
  <si>
    <t>Section 3. ITN distribution</t>
  </si>
  <si>
    <t xml:space="preserve">Knew about distribution but was unable to attend </t>
  </si>
  <si>
    <t xml:space="preserve">Knew about distribution but forgot to attend </t>
  </si>
  <si>
    <t>Knew about distribution but did not want to attend</t>
  </si>
  <si>
    <t>Did not know distribution was happening</t>
  </si>
  <si>
    <t>${recvd_itn} = '0'</t>
  </si>
  <si>
    <t>${recvd_itn} = '1'</t>
  </si>
  <si>
    <t>calc_itn_recvd</t>
  </si>
  <si>
    <t xml:space="preserve">if(${calc_itn_recvd} = ${itn_elig}, 1, 0) </t>
  </si>
  <si>
    <t>itn_correct_yes</t>
  </si>
  <si>
    <t>itn_correct_no</t>
  </si>
  <si>
    <t>calc_itn_correct</t>
  </si>
  <si>
    <t>oth_mismatch</t>
  </si>
  <si>
    <t xml:space="preserve">Why is there a mismatch between the number of ITNs allocated based on the number of eligible people at HHR and the number of ITNs received by the household? </t>
  </si>
  <si>
    <t>. &lt;= ${itn_recvd_n}</t>
  </si>
  <si>
    <t>The number of ITNs still in the household's possession must not be greater than the number received from the campaign.</t>
  </si>
  <si>
    <t>The number of campaign ITNs used for sleeping under must not be greater than the number still in the household's possession.</t>
  </si>
  <si>
    <t>ncitn_n_check</t>
  </si>
  <si>
    <t>${ncitn_n}&gt;5</t>
  </si>
  <si>
    <t>. &lt;= ${ncitn_n}</t>
  </si>
  <si>
    <t>The number of other ITNs used for sleeping under must not be greater than the number in the household's possession.</t>
  </si>
  <si>
    <t>total_itns</t>
  </si>
  <si>
    <t>Go back and correct the details on the number of campaign ITNs and number of ITNs from other sources owned by the household.</t>
  </si>
  <si>
    <t>group_sec4_sbc</t>
  </si>
  <si>
    <t>Aware of date, NOT location</t>
  </si>
  <si>
    <t>Aware of location, NOT date</t>
  </si>
  <si>
    <t>select_multiple aware_source_list</t>
  </si>
  <si>
    <t>aware_source</t>
  </si>
  <si>
    <t>Do not read responses
Select all that apply</t>
  </si>
  <si>
    <t>oth_aware_source</t>
  </si>
  <si>
    <t>Specify other sources of information.</t>
  </si>
  <si>
    <t>selected(${aware_source},'96')</t>
  </si>
  <si>
    <t>aware_source_list</t>
  </si>
  <si>
    <t xml:space="preserve">Newspaper </t>
  </si>
  <si>
    <t>sbc_distrstaff</t>
  </si>
  <si>
    <t>What information did the distribution staff give you?</t>
  </si>
  <si>
    <t>sbc_msg</t>
  </si>
  <si>
    <t>oth_sbc_msg</t>
  </si>
  <si>
    <t>select_multiple sbc_msg_list</t>
  </si>
  <si>
    <t>sbc_msg_list</t>
  </si>
  <si>
    <t>${sbc_distrstaff} = '1'</t>
  </si>
  <si>
    <t>selected(${sbc_msg},'96')</t>
  </si>
  <si>
    <t>Specify other information or messages received.</t>
  </si>
  <si>
    <t>if(${calc_rec_itn}&gt;0,${calc_rec_itn},if(${calc_verbal_itn}&gt;0,${calc_verbal_itn},${calc_hhr_elig_itn}))</t>
  </si>
  <si>
    <t xml:space="preserve">if(${itn_recvd_n}&gt;0,${itn_recvd_n},0) </t>
  </si>
  <si>
    <t>${participate} = '1'</t>
  </si>
  <si>
    <t>if(${calc_hhr_elig_count}&lt;=2,1,if(${calc_hhr_elig_count}&lt;=4,2,if(${calc_hhr_elig_count}&lt;=6,3,if(${calc_hhr_elig_count}&lt;=8,4,5))))</t>
  </si>
  <si>
    <t>if(${rec_itn}&lt;10,${rec_itn},if(${rec_elig}=98,null,if(${rec_elig}&lt;=2,1,if(${rec_elig}&lt;=4,2,if(${rec_elig}&lt;=6,3,if(${rec_elig}&lt;=8,4,5))))))</t>
  </si>
  <si>
    <t>if(${verbal_itn}&lt;10,${verbal_itn},if(${verbal_elig}=98,null,if(${verbal_elig}&lt;=2,1,if(${verbal_elig}&lt;=4,2,if(${verbal_elig}&lt;=6,3,if(${verbal_elig}&lt;=8,4,5))))))</t>
  </si>
  <si>
    <t>note_result_chk1</t>
  </si>
  <si>
    <t>note_result_chk2</t>
  </si>
  <si>
    <t>Yes: QR code</t>
  </si>
  <si>
    <t>Yes: Coupon or voucher with number</t>
  </si>
  <si>
    <t>If less than 1 year write 0 in the box and enter months in the next box.&lt;br&gt;If the age is unknown then enter 999.</t>
  </si>
  <si>
    <t>constraint_message::English</t>
  </si>
  <si>
    <t>Is someone present in house to whom you can introduce the assessment?</t>
  </si>
  <si>
    <t>Capture the details of people living in the household and record their eligibility for HHR by applying the campaign rules.
For each person in the household, capture whether they slept under an ITN last night and if not, the reasons why not.
&lt;i&gt;Record any person who usually lives here, including domestic servants, lodgers, and friends. Don't forget to record infants and small children.&lt;/i&gt;</t>
  </si>
  <si>
    <t>res_no</t>
  </si>
  <si>
    <t>First names of person number ${res_no} currently living in the household.</t>
  </si>
  <si>
    <t>Children 5 to 17 years of age: ${calc_olderchild_count}</t>
  </si>
  <si>
    <t xml:space="preserve"> </t>
  </si>
  <si>
    <t>Was this household visited by an ITN campaign household registration team before the ITN distribution?
&lt;i&gt;The team would have talked to you about the upcoming ITN distribution and recorded information about the number of people living in your household. They will have given you a card voucher that you need to present to collect your ITNs when the distribution happens.&lt;/i&gt;</t>
  </si>
  <si>
    <t>.&lt;=${hhr_u5}</t>
  </si>
  <si>
    <t>.&lt;=${hhr_olderchild}</t>
  </si>
  <si>
    <t>Number of eligible children aged 5 to 17 must be less than the total number of children in this age group</t>
  </si>
  <si>
    <t>.&lt;=${hhr_adult}</t>
  </si>
  <si>
    <t>Number of eligible adults aged 18 years and older must be less than the total number of adults</t>
  </si>
  <si>
    <r>
      <t>.&lt;</t>
    </r>
    <r>
      <rPr>
        <sz val="11"/>
        <color rgb="FF00B0F0"/>
        <rFont val="Calibri"/>
        <family val="2"/>
        <scheme val="minor"/>
      </rPr>
      <t>10</t>
    </r>
  </si>
  <si>
    <t>.='1'</t>
  </si>
  <si>
    <t>&lt;font color=red&gt;&lt;b&gt;Assessor:&lt;/b&gt;
&lt;i&gt;Applying the campaign allocation rules to the number of eligible persons in the household at the time of HHR, this household should have been assigned &lt;font color=green&gt;${itn_elig} ITNs.&lt;/font&gt;&lt;i/&gt;</t>
  </si>
  <si>
    <t>&lt;font color=red&gt;&lt;b&gt;Assessor:&lt;/b&gt;
Based on information shared with the respondent by the HHR team, this household should have been assigned &lt;font color=green&gt;${itn_elig} ITNs.&lt;/font&gt;&lt;i/&gt;</t>
  </si>
  <si>
    <t>Distribution staff rationed ITNs</t>
  </si>
  <si>
    <t>If the value is not correct, go back and correct the previous answer.</t>
  </si>
  <si>
    <t>Section 4. Campaign knowledge and SBC exposure</t>
  </si>
  <si>
    <t>columns-1</t>
  </si>
  <si>
    <t>position(..)</t>
  </si>
  <si>
    <t>${calc_rec_itn}=null and ${calc_verbal_itn}=null</t>
  </si>
  <si>
    <t>&lt;div style="text-align:center"&gt;FLAG HERE&lt;br&gt;COUNTRY NAME&lt;br&gt;YEAR ITN Campaign&lt;br&gt;&lt;br&gt;End-Process Assessment&lt;br&gt;&lt;br&gt;Welcome&lt;/div&gt;</t>
  </si>
  <si>
    <t>&lt;font color=red&gt;&lt;b&gt;Assessor:&lt;/b&gt;
Based on the campaign rules, is ${name} eligible for inclusion in the HHR for this household?</t>
  </si>
  <si>
    <t>The HHR team did not visit</t>
  </si>
  <si>
    <t>&lt;font color=red&gt;&lt;b&gt;Assessor:&lt;/b&gt;
&lt;i&gt;How many of these children under 5 years of age were eligible for the ITN campaign?&lt;/i&gt;</t>
  </si>
  <si>
    <t>&lt;font color=red&gt;&lt;b&gt;Assessor:&lt;/b&gt;
&lt;i&gt;How many of these children aged 5 to 17 years of age were eligible for the ITN campaign?&lt;/i&gt;</t>
  </si>
  <si>
    <t>&lt;font color=red&gt;&lt;b&gt;Assessor:&lt;/b&gt;
&lt;i&gt;How many of these adults aged 18 years and older were eligible for the ITN campaign?&lt;/i&gt;</t>
  </si>
  <si>
    <t>Number of eligible children under 5 must be less than the total number of children in this age group</t>
  </si>
  <si>
    <r>
      <t>.&gt;0 and .&lt;</t>
    </r>
    <r>
      <rPr>
        <sz val="11"/>
        <color rgb="FF00B0F0"/>
        <rFont val="Calibri"/>
        <family val="2"/>
        <scheme val="minor"/>
      </rPr>
      <t>10</t>
    </r>
    <r>
      <rPr>
        <sz val="11"/>
        <color theme="1"/>
        <rFont val="Calibri"/>
        <family val="2"/>
        <scheme val="minor"/>
      </rPr>
      <t xml:space="preserve"> or . = 98</t>
    </r>
  </si>
  <si>
    <r>
      <t>.&gt;0 and .&lt;</t>
    </r>
    <r>
      <rPr>
        <sz val="11"/>
        <color rgb="FF00B0F0"/>
        <rFont val="Calibri"/>
        <family val="2"/>
        <scheme val="minor"/>
      </rPr>
      <t>20</t>
    </r>
    <r>
      <rPr>
        <sz val="11"/>
        <color theme="1"/>
        <rFont val="Calibri"/>
        <family val="2"/>
        <scheme val="minor"/>
      </rPr>
      <t xml:space="preserve"> or . = 98</t>
    </r>
  </si>
  <si>
    <r>
      <t xml:space="preserve">Number of eligible people must be less than </t>
    </r>
    <r>
      <rPr>
        <sz val="11"/>
        <color rgb="FF00B0F0"/>
        <rFont val="Calibri"/>
        <family val="2"/>
        <scheme val="minor"/>
      </rPr>
      <t>20</t>
    </r>
    <r>
      <rPr>
        <sz val="11"/>
        <color theme="1"/>
        <rFont val="Calibri"/>
        <family val="2"/>
        <scheme val="minor"/>
      </rPr>
      <t xml:space="preserve"> (and more than 0)</t>
    </r>
  </si>
  <si>
    <r>
      <t xml:space="preserve">Number of ITNs must be less than </t>
    </r>
    <r>
      <rPr>
        <sz val="11"/>
        <color rgb="FF00B0F0"/>
        <rFont val="Calibri"/>
        <family val="2"/>
        <scheme val="minor"/>
      </rPr>
      <t>10</t>
    </r>
    <r>
      <rPr>
        <sz val="11"/>
        <rFont val="Calibri"/>
        <family val="2"/>
        <scheme val="minor"/>
      </rPr>
      <t xml:space="preserve"> (and more than 0)</t>
    </r>
  </si>
  <si>
    <t>(How to) Use your net</t>
  </si>
  <si>
    <t>(How to) Care for your net</t>
  </si>
  <si>
    <t>(How to) Hang up your net</t>
  </si>
  <si>
    <t>(How to) Repair your net</t>
  </si>
  <si>
    <t>No ITNs from campaign</t>
  </si>
  <si>
    <t>Yes ITNs from campaign</t>
  </si>
  <si>
    <r>
      <t xml:space="preserve">Number of ITNs must be less than </t>
    </r>
    <r>
      <rPr>
        <sz val="11"/>
        <color rgb="FF00B0F0"/>
        <rFont val="Calibri"/>
        <family val="2"/>
        <scheme val="minor"/>
      </rPr>
      <t>10</t>
    </r>
    <r>
      <rPr>
        <sz val="11"/>
        <color theme="1"/>
        <rFont val="Calibri"/>
        <family val="2"/>
        <scheme val="minor"/>
      </rPr>
      <t>. If no ITNs were received from the recent campaign, go back and correct earlier response.</t>
    </r>
  </si>
  <si>
    <r>
      <t>.&gt;0 and .&lt;</t>
    </r>
    <r>
      <rPr>
        <sz val="11"/>
        <color rgb="FF00B0F0"/>
        <rFont val="Calibri"/>
        <family val="2"/>
        <scheme val="minor"/>
      </rPr>
      <t>10</t>
    </r>
  </si>
  <si>
    <t>citn_n</t>
  </si>
  <si>
    <t>. &lt;= ${citn_n}</t>
  </si>
  <si>
    <t>calc_citn_n</t>
  </si>
  <si>
    <t>if(${recvd_itn} = '1', ${citn_n}, 0)</t>
  </si>
  <si>
    <t>${calc_citn_n} + ${ncitn_n}</t>
  </si>
  <si>
    <t>Let me check if I have this correct:
The total number ITNs that this household owns that can be used for sleeping under is &lt;font color=green&gt;${total_itns} ITNs.&lt;/font&gt;</t>
  </si>
  <si>
    <t>&lt;font color=red&gt;&lt;b&gt;Assessor:&lt;/b&gt;
Why is there a mismatch between the number of ITNs allocated based on the number of eligible people at HHR and the number of ITNs received by the household?</t>
  </si>
  <si>
    <t>&lt;font color=red&gt;&lt;b&gt;Assessor:&lt;/b&gt;
Describe the details of the difference between the HHR ITN allocation and the number of ITNs received from the campaign.</t>
  </si>
  <si>
    <t>When the HHR team visited, how many children under 5 years of age were living in the household?</t>
  </si>
  <si>
    <t>if(${eligible} = 1, 1, 0)</t>
  </si>
  <si>
    <t>if(${eligible} = 1 and ${age_y} &lt; 5, 1, 0)</t>
  </si>
  <si>
    <t>if(${eligible} = 1 and ${age_y} &gt;= 5 and ${age_y} &lt; 18, 1, 0)</t>
  </si>
  <si>
    <t>if(${eligible} = 1 and ${age_y} &gt;= 18, 1, 0)</t>
  </si>
  <si>
    <t>&lt;font color=red&gt;&lt;b&gt;Assessor:&lt;/b&gt;
Based on the household roster information, the number of people eligible to be registered for the campaign based on today's assesment recount is:
Total: ${calc_elig_count}</t>
  </si>
  <si>
    <t>assessor_flag1</t>
  </si>
  <si>
    <t>assessor_flag2</t>
  </si>
  <si>
    <t>Let me check if I have this correct:
The total number of people living in this household and eligible for the ITN campaign when the HHR team visited, was ${calc_hhr_elig_count}.
Eligible children under 5 = ${hhr_u5_elig}
Eligible children 5-17 = ${hhr_olderch_elig}
Eligible adults = ${hhr_adult_elig}</t>
  </si>
  <si>
    <t>&lt;font color=red&gt;&lt;b&gt;Assessor:&lt;/b&gt;
&lt;b&gt;Comparing HHR outcome with Assessment outcome&lt;/b&gt;
ITNs assigned based on HHR visit = ${itn_elig}
ITNs received from the campaign = ${calc_itn_recvd}
&lt;font color=green&gt;MATCH&lt;/font&gt;
&lt;i&gt;Based on the information provided, this household received the &lt;font color=green&gt;correct number of ITNs&lt;/font&gt; from the campaign, given the number of eligible people recorded by the HHR team.&lt;/i&gt;</t>
  </si>
  <si>
    <t>&lt;font color=red&gt;&lt;b&gt;Assessor:&lt;/b&gt;
&lt;b&gt;Comparing HHR outcome with Assessment outcome&lt;/b&gt;
ITNs assigned based on HHR visit = ${itn_elig}
ITNs received from the campaign = ${calc_itn_recvd}
&lt;font color=red&gt;MISMATCH&lt;/font&gt;
&lt;i&gt;Based on the information provided, this household received an &lt;font color=red&gt;incorrect number of ITNs&lt;/font&gt; from the campaign, given the number of eligible people recorded by the HHR team.&lt;/i&gt;</t>
  </si>
  <si>
    <t>If no number, enter 999.</t>
  </si>
  <si>
    <t>&lt;font color=red&gt;&lt;b&gt;Assessor:&lt;/b&gt;
&lt;b&gt;Comparing different sources of HHR information&lt;/b&gt;
&lt;i&gt;There is a mismatch between the HHR count of eligible persons based on the written voucher value and the respondent's recall of household composition at the time of HHR.&lt;/i&gt;
Written voucher count = ${rec_elig}
Recall of household composition = ${calc_hhr_elig_count}
&lt;i&gt;For the assessment, the written voucher value will take precedence over the respondent's recall of household composition.&lt;i/&gt;
&lt;i&gt;If either of these values are incorrect, go back and correct them before proceeding.&lt;/i&gt;</t>
  </si>
  <si>
    <t>&lt;font color=red&gt;&lt;b&gt;Assessor:&lt;/b&gt;
&lt;b&gt;Comparing different sources of HHR information&lt;/b&gt;
&lt;i&gt;There is a mismatch between the HHR count of eligible persons based on the respondent's recall of the voucher value and the respondent's recall of household composition at the time of HHR.&lt;/i&gt;
Recall of voucher count = ${verbal_elig}
Recall of household composition = ${calc_hhr_elig_count}
&lt;i&gt;For the assessment, the recalled voucher value will take precedence over the respondent's recall of household composition.&lt;i/&gt;
&lt;i&gt;If either of these values are incorrect, go back and correct them before proceeding.&lt;/i&gt;</t>
  </si>
  <si>
    <t xml:space="preserve">((${rec_itn} = null or ${rec_itn} = 98) and ${rec_elig} != null) or ((${verbal_itn} = null or ${verbal_itn} = 98) and ${verbal_elig} != null) </t>
  </si>
  <si>
    <t>(${rec_itn} = null or ${rec_itn} = 98) and ${rec_elig} != null and ${rec_elig} != 98 and ${rec_elig} != ${calc_hhr_elig_count}</t>
  </si>
  <si>
    <t>(${verbal_itn} = null or ${verbal_itn} = 98) and ${verbal_elig} != null and ${verbal_elig} != 98 and ${verbal_elig} != ${calc_hhr_elig_count}</t>
  </si>
  <si>
    <t>corr_voucher</t>
  </si>
  <si>
    <t>The QR code that you scanned is: ${voucher_qr}. Is this correct?</t>
  </si>
  <si>
    <t>${hhr_voucher} = '2' or ${corr_voucher} = '0'</t>
  </si>
  <si>
    <t>If there is no human-readable code printed on the voucher, select "Don't know"</t>
  </si>
  <si>
    <t>Visited distribution point but received no ITNs</t>
  </si>
  <si>
    <t>No distribution point was set up / no distribution occurred</t>
  </si>
  <si>
    <t>Respondent does not know why household didn't get ITNs</t>
  </si>
  <si>
    <t xml:space="preserve">Refused ITNs when distribution team came to the house </t>
  </si>
  <si>
    <t xml:space="preserve">No one was at home when the distribution team came with ITNs </t>
  </si>
  <si>
    <t>People were in the house and distribution team did not visit</t>
  </si>
  <si>
    <t>select_one noitn_list_fp</t>
  </si>
  <si>
    <t>select_one noitn_list_d2d</t>
  </si>
  <si>
    <t>why_noitn_fp</t>
  </si>
  <si>
    <t>oth_noitn_fp</t>
  </si>
  <si>
    <t>why_noitn_d2d</t>
  </si>
  <si>
    <t>oth_noitn_d2d</t>
  </si>
  <si>
    <t>noitn_list_fp</t>
  </si>
  <si>
    <t>noitn_list_d2d</t>
  </si>
  <si>
    <t>How many ITNs from other sources does this household own that are or can be used for sleeping under (other than any nets you received from the recent campaign)?</t>
  </si>
  <si>
    <t>&lt;font color=red&gt;&lt;b&gt;Assessor:&lt;/b&gt; this question is asking about nets that have not come from the most recent ITN campaign. 
This can include nets from previous campaign, nets received by pregnant women, and nets bought at a pharmacy or market.</t>
  </si>
  <si>
    <t>How many of these other ITNs were slept under last night?</t>
  </si>
  <si>
    <t xml:space="preserve">You have recorded ${ncitn_n} ITNs from other sources in this household.
Please confirm if this value is correct (Yes) or go back and correct the previous answer. </t>
  </si>
  <si>
    <t xml:space="preserve">&lt;font color=red&gt;&lt;b&gt;Assessor:&lt;/b&gt; this question is asking about nets that have not come from the most recent ITN campaign. </t>
  </si>
  <si>
    <t>select_one aware_list_fp</t>
  </si>
  <si>
    <t>aware_list_fp</t>
  </si>
  <si>
    <t>aware_fp</t>
  </si>
  <si>
    <t>aware_d2d</t>
  </si>
  <si>
    <t>Why did this household not receive any ITNs from the recent campaign? (Fixed point campaign)</t>
  </si>
  <si>
    <t>Why did this household not receive any ITNs from the recent campaign?
(Door-to-door campaign)</t>
  </si>
  <si>
    <t>Why did this household not receive any ITNs from the recent campaign?
(Fixed point campaign)</t>
  </si>
  <si>
    <t>${aware_fp} != '0' or ${aware_d2d} = '1'</t>
  </si>
  <si>
    <t>Health worker/CHW</t>
  </si>
  <si>
    <t>${recvd_itn} = '1' or ${why_noitn_fp} != '1'</t>
  </si>
  <si>
    <t>hh_visit_detail</t>
  </si>
  <si>
    <t>if(${present} = '0', 2, if(${present} = '1' and ${participate} = '0', 3, 1))</t>
  </si>
  <si>
    <t>${hh_visit_detail} = '2'</t>
  </si>
  <si>
    <t>${hh_visit_detail} = '1'</t>
  </si>
  <si>
    <t>I have introduced the assessment to the respondent. The respondent has been given the opportunity to ask questions and I have answered all questions to the best of my ability.</t>
  </si>
  <si>
    <t>ic_check</t>
  </si>
  <si>
    <t>You have indicated that you did not introduce the assessment or give the respondent the opportunity to ask questions. 
Go back and ensure that you have conduced the informed consent process correctly.</t>
  </si>
  <si>
    <t>${introduced} = '0'</t>
  </si>
  <si>
    <t>${introduced} = '1'</t>
  </si>
  <si>
    <t>${hh_visit_detail} = '3' or ${introduced} = '0'</t>
  </si>
  <si>
    <t>${visited} = '1' and ${calc_itn_correct} = '1'</t>
  </si>
  <si>
    <t>${visited} = '1' and${calc_itn_correct} = '0'</t>
  </si>
  <si>
    <t>Were you aware of the date and location for the ITN distribution before it happened? (Fixed point)</t>
  </si>
  <si>
    <t>Were you aware of the date and location for the ITN distribution before it happened? (Door-to-door)</t>
  </si>
  <si>
    <t>${visited} = '1' and ${calc_itn_correct} = '0'</t>
  </si>
  <si>
    <t>${visited} = '0' and ${recvd_itn} = '1'</t>
  </si>
  <si>
    <t>visit_check</t>
  </si>
  <si>
    <t>The household reports that they received ITNs from the recent campaign but they were not visited by the HHR team. 
&lt;font color=red&gt;&lt;b&gt;Assessor:&lt;/b&gt;
Confirm if this is correct.</t>
  </si>
  <si>
    <t>Consenting households</t>
  </si>
  <si>
    <t>Resident ITN use</t>
  </si>
  <si>
    <t>Roster count</t>
  </si>
  <si>
    <t>Age group count</t>
  </si>
  <si>
    <t>ITN status</t>
  </si>
  <si>
    <t>hint::English</t>
  </si>
  <si>
    <t>English</t>
  </si>
  <si>
    <t>If this is not correct, go back and correct the previous answer.</t>
  </si>
  <si>
    <t>District4</t>
  </si>
  <si>
    <t>District5</t>
  </si>
  <si>
    <t>District6</t>
  </si>
  <si>
    <t>Subdistrict9</t>
  </si>
  <si>
    <t>Subdistrict4</t>
  </si>
  <si>
    <t>Subdistrict5</t>
  </si>
  <si>
    <t>Subdistrict6</t>
  </si>
  <si>
    <t>Subdistrict7</t>
  </si>
  <si>
    <t>Subdistrict8</t>
  </si>
  <si>
    <t>region = ${region}</t>
  </si>
  <si>
    <t>district = ${district}</t>
  </si>
  <si>
    <t>Cluster101</t>
  </si>
  <si>
    <t>Cluster102</t>
  </si>
  <si>
    <t>Cluster103</t>
  </si>
  <si>
    <t>Cluster201</t>
  </si>
  <si>
    <t>Cluster202</t>
  </si>
  <si>
    <t>Cluster203</t>
  </si>
  <si>
    <t>Cluster301</t>
  </si>
  <si>
    <t>Cluster302</t>
  </si>
  <si>
    <t>Cluster303</t>
  </si>
  <si>
    <t>Cluster104</t>
  </si>
  <si>
    <t>Cluster105</t>
  </si>
  <si>
    <t>Cluster106</t>
  </si>
  <si>
    <t>Cluster204</t>
  </si>
  <si>
    <t>Cluster205</t>
  </si>
  <si>
    <t>Cluster206</t>
  </si>
  <si>
    <t>Cluster306</t>
  </si>
  <si>
    <t>Cluster304</t>
  </si>
  <si>
    <t>Cluster305</t>
  </si>
  <si>
    <t>concat(${district}, ${cluster}, ${hh_n})</t>
  </si>
  <si>
    <t>Subdistrict10</t>
  </si>
  <si>
    <t>Subdistrict12</t>
  </si>
  <si>
    <t>Subdistrict14</t>
  </si>
  <si>
    <t>Subdistrict16</t>
  </si>
  <si>
    <t>Subdistrict11</t>
  </si>
  <si>
    <t>Subdistrict13</t>
  </si>
  <si>
    <t>Subdistrict15</t>
  </si>
  <si>
    <t>Subdistrict17</t>
  </si>
  <si>
    <t>Subdistrict18</t>
  </si>
  <si>
    <t>No one was present for the interview. Finalize and close the form.
Sample a replacement household and start a new questionnaire. Ensure that 10 households are interviewed in the cluster.</t>
  </si>
  <si>
    <t>The respondent did not agree to participate. Thank the respondent for their time, and finalize and close the form.
Sample a replacement household and start a new questionnaire. Ensure that 10 households are interviewed in the cluster.</t>
  </si>
  <si>
    <t xml:space="preserve">The questionnaire is complete. Thank the respondent for their time, and finalize and close the form. </t>
  </si>
  <si>
    <t>Cluster401</t>
  </si>
  <si>
    <t>Cluster501</t>
  </si>
  <si>
    <t>Cluster601</t>
  </si>
  <si>
    <t>Cluster701</t>
  </si>
  <si>
    <t>Cluster801</t>
  </si>
  <si>
    <t>Cluster901</t>
  </si>
  <si>
    <t>Cluster402</t>
  </si>
  <si>
    <t>Cluster403</t>
  </si>
  <si>
    <t>Cluster404</t>
  </si>
  <si>
    <t>Cluster405</t>
  </si>
  <si>
    <t>Cluster406</t>
  </si>
  <si>
    <t>Cluster502</t>
  </si>
  <si>
    <t>Cluster503</t>
  </si>
  <si>
    <t>Cluster504</t>
  </si>
  <si>
    <t>Cluster505</t>
  </si>
  <si>
    <t>Cluster506</t>
  </si>
  <si>
    <t>Cluster906</t>
  </si>
  <si>
    <t>Cluster602</t>
  </si>
  <si>
    <t>Cluster603</t>
  </si>
  <si>
    <t>Cluster604</t>
  </si>
  <si>
    <t>Cluster605</t>
  </si>
  <si>
    <t>Cluster606</t>
  </si>
  <si>
    <t>Cluster702</t>
  </si>
  <si>
    <t>Cluster703</t>
  </si>
  <si>
    <t>Cluster704</t>
  </si>
  <si>
    <t>Cluster705</t>
  </si>
  <si>
    <t>Cluster706</t>
  </si>
  <si>
    <t>Cluster802</t>
  </si>
  <si>
    <t>Cluster803</t>
  </si>
  <si>
    <t>Cluster804</t>
  </si>
  <si>
    <t>Cluster805</t>
  </si>
  <si>
    <t>Cluster806</t>
  </si>
  <si>
    <t>Cluster902</t>
  </si>
  <si>
    <t>Cluster903</t>
  </si>
  <si>
    <t>Cluster904</t>
  </si>
  <si>
    <t>Cluster905</t>
  </si>
  <si>
    <t>idp</t>
  </si>
  <si>
    <t xml:space="preserve">Is ${name} an internally displaced person or other vulnerable group?  </t>
  </si>
  <si>
    <t>End-process assessment of distr</t>
  </si>
  <si>
    <t>${gender} = '2' and (${age_y}&gt; =15 and ${age_y}&lt;=49)</t>
  </si>
  <si>
    <t>${why_noitn_fp} = '96'</t>
  </si>
  <si>
    <t>${why_noitn_d2d} = '96'</t>
  </si>
  <si>
    <t>${reason_mismatch} = '96'</t>
  </si>
  <si>
    <t>${visited} = '0' or ${visited} = '98'</t>
  </si>
  <si>
    <t>${notreg} = '96'</t>
  </si>
  <si>
    <t>${reason_noitn} = '96'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</si>
</sst>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0"/>
      <name val="Arial"/>
      <family val="2"/>
    </font>
    <font>
      <sz val="12"/>
      <color indexed="8"/>
      <name val="Calibri"/>
      <family val="2"/>
    </font>
    <font>
      <u/>
      <sz val="12"/>
      <color indexed="12"/>
      <name val="Calibri"/>
      <family val="2"/>
    </font>
    <font>
      <sz val="12"/>
      <color theme="1"/>
      <name val="Calibri"/>
      <family val="2"/>
      <charset val="129"/>
      <scheme val="minor"/>
    </font>
    <font>
      <sz val="11"/>
      <name val="Calibri"/>
      <family val="2"/>
      <scheme val="minor"/>
    </font>
    <font>
      <b/>
      <sz val="11"/>
      <color theme="1"/>
      <name val="Calibri"/>
      <family val="2"/>
      <scheme val="minor"/>
    </font>
    <font>
      <sz val="11"/>
      <color rgb="FF000000"/>
      <name val="Calibri"/>
      <family val="2"/>
      <scheme val="minor"/>
    </font>
    <font>
      <b/>
      <sz val="11"/>
      <name val="Calibri"/>
      <family val="2"/>
      <scheme val="minor"/>
    </font>
    <font>
      <sz val="11"/>
      <color rgb="FF00B0F0"/>
      <name val="Calibri"/>
      <family val="2"/>
      <scheme val="minor"/>
    </font>
    <font>
      <sz val="10"/>
      <color theme="1"/>
      <name val="Arial Unicode MS"/>
    </font>
    <font>
      <sz val="11"/>
      <color rgb="FFFF0000"/>
      <name val="Calibri"/>
      <family val="2"/>
      <scheme val="minor"/>
    </font>
    <font>
      <i/>
      <sz val="11"/>
      <color rgb="FF00B0F0"/>
      <name val="Calibri"/>
      <family val="2"/>
      <scheme val="minor"/>
    </font>
    <font>
      <sz val="8"/>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DCC97A"/>
        <bgColor indexed="64"/>
      </patternFill>
    </fill>
  </fills>
  <borders count="5">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5">
    <xf numFmtId="0" fontId="0" fillId="0" borderId="0"/>
    <xf numFmtId="0" fontId="1" fillId="0" borderId="0">
      <alignment vertical="center"/>
    </xf>
    <xf numFmtId="0" fontId="3" fillId="0" borderId="0" applyNumberFormat="0" applyFill="0" applyBorder="0" applyAlignment="0" applyProtection="0">
      <alignment vertical="top"/>
      <protection locked="0"/>
    </xf>
    <xf numFmtId="0" fontId="4" fillId="0" borderId="0"/>
    <xf numFmtId="0" fontId="2" fillId="0" borderId="0"/>
  </cellStyleXfs>
  <cellXfs count="31">
    <xf numFmtId="0" fontId="0" fillId="0" borderId="0" xfId="0"/>
    <xf numFmtId="0" fontId="7" fillId="0" borderId="0" xfId="0" applyFont="1" applyAlignment="1">
      <alignment vertical="center"/>
    </xf>
    <xf numFmtId="0" fontId="5" fillId="0" borderId="0" xfId="0" applyFont="1" applyAlignment="1">
      <alignment vertical="center"/>
    </xf>
    <xf numFmtId="0" fontId="8" fillId="0" borderId="0" xfId="1" applyFont="1">
      <alignment vertical="center"/>
    </xf>
    <xf numFmtId="0" fontId="6" fillId="0" borderId="2" xfId="0" applyFont="1" applyBorder="1"/>
    <xf numFmtId="0" fontId="0" fillId="0" borderId="2" xfId="0" applyBorder="1"/>
    <xf numFmtId="0" fontId="0" fillId="0" borderId="3" xfId="0" applyBorder="1"/>
    <xf numFmtId="0" fontId="0" fillId="2" borderId="4" xfId="0" applyFill="1" applyBorder="1" applyAlignment="1">
      <alignment vertical="top"/>
    </xf>
    <xf numFmtId="0" fontId="0" fillId="0" borderId="4" xfId="0" applyBorder="1" applyAlignment="1">
      <alignment vertical="top"/>
    </xf>
    <xf numFmtId="0" fontId="0" fillId="0" borderId="4" xfId="0" applyBorder="1" applyAlignment="1">
      <alignment vertical="top" wrapText="1"/>
    </xf>
    <xf numFmtId="0" fontId="0" fillId="6" borderId="4" xfId="0" applyFill="1" applyBorder="1" applyAlignment="1">
      <alignment vertical="top" wrapText="1"/>
    </xf>
    <xf numFmtId="0" fontId="0" fillId="7" borderId="4" xfId="0" applyFill="1" applyBorder="1" applyAlignment="1">
      <alignment vertical="top" wrapText="1"/>
    </xf>
    <xf numFmtId="0" fontId="8" fillId="4" borderId="4" xfId="0" applyFont="1" applyFill="1" applyBorder="1" applyAlignment="1">
      <alignment vertical="top" wrapText="1"/>
    </xf>
    <xf numFmtId="0" fontId="6" fillId="4" borderId="4" xfId="0" applyFont="1" applyFill="1" applyBorder="1" applyAlignment="1">
      <alignment vertical="top" wrapText="1"/>
    </xf>
    <xf numFmtId="0" fontId="0" fillId="3" borderId="4" xfId="0" applyFill="1" applyBorder="1" applyAlignment="1">
      <alignment vertical="top" wrapText="1"/>
    </xf>
    <xf numFmtId="0" fontId="5" fillId="0" borderId="4" xfId="0" applyFont="1" applyBorder="1" applyAlignment="1">
      <alignment vertical="top" wrapText="1"/>
    </xf>
    <xf numFmtId="0" fontId="0" fillId="5" borderId="4" xfId="0" applyFill="1" applyBorder="1" applyAlignment="1">
      <alignment vertical="top" wrapText="1"/>
    </xf>
    <xf numFmtId="0" fontId="9" fillId="7" borderId="4" xfId="0" applyFont="1" applyFill="1" applyBorder="1" applyAlignment="1">
      <alignment vertical="top" wrapText="1"/>
    </xf>
    <xf numFmtId="0" fontId="9" fillId="0" borderId="4" xfId="0" applyFont="1" applyBorder="1" applyAlignment="1">
      <alignment vertical="top" wrapText="1"/>
    </xf>
    <xf numFmtId="0" fontId="9" fillId="3" borderId="4" xfId="0" applyFont="1" applyFill="1" applyBorder="1" applyAlignment="1">
      <alignment vertical="top" wrapText="1"/>
    </xf>
    <xf numFmtId="0" fontId="10" fillId="0" borderId="4" xfId="0" applyFont="1" applyBorder="1" applyAlignment="1">
      <alignment vertical="top" wrapText="1"/>
    </xf>
    <xf numFmtId="0" fontId="11" fillId="7" borderId="4" xfId="0" applyFont="1" applyFill="1" applyBorder="1" applyAlignment="1">
      <alignment vertical="top" wrapText="1"/>
    </xf>
    <xf numFmtId="0" fontId="6" fillId="0" borderId="4" xfId="0" applyFont="1" applyBorder="1" applyAlignment="1">
      <alignment vertical="top" wrapText="1"/>
    </xf>
    <xf numFmtId="0" fontId="12" fillId="6" borderId="4" xfId="0" applyFont="1" applyFill="1" applyBorder="1" applyAlignment="1">
      <alignment vertical="top" wrapText="1"/>
    </xf>
    <xf numFmtId="0" fontId="9" fillId="0" borderId="0" xfId="0" applyFont="1"/>
    <xf numFmtId="0" fontId="9" fillId="0" borderId="3" xfId="0" applyFont="1" applyBorder="1"/>
    <xf numFmtId="0" fontId="5" fillId="0" borderId="0" xfId="0" applyFont="1"/>
    <xf numFmtId="0" fontId="9" fillId="6" borderId="4" xfId="0" applyFont="1" applyFill="1" applyBorder="1" applyAlignment="1">
      <alignment vertical="top" wrapText="1"/>
    </xf>
    <xf numFmtId="0" fontId="5" fillId="7" borderId="4" xfId="0" applyFont="1" applyFill="1" applyBorder="1" applyAlignment="1">
      <alignment vertical="top" wrapText="1"/>
    </xf>
    <xf numFmtId="0" fontId="9" fillId="0" borderId="1" xfId="0" applyFont="1" applyBorder="1"/>
    <xf numFmtId="0" fontId="9" fillId="0" borderId="2" xfId="0" applyFont="1" applyBorder="1"/>
  </cellXfs>
  <cellStyles count="5">
    <cellStyle name="Hyperlink 2" xfId="2" xr:uid="{AD152691-63E4-456E-8A0C-28DC62EE2B3A}"/>
    <cellStyle name="Normal" xfId="0" builtinId="0"/>
    <cellStyle name="Normal 2" xfId="3" xr:uid="{3900CAF4-4866-44A2-834B-927A07AABCB6}"/>
    <cellStyle name="Normal 3" xfId="4" xr:uid="{7049CFFC-F00A-4234-B9F4-CD08491CBE3D}"/>
    <cellStyle name="Normal 4" xfId="1" xr:uid="{051B4425-A111-4E04-A881-8E604DC850D5}"/>
  </cellStyles>
  <dxfs count="0"/>
  <tableStyles count="0" defaultTableStyle="TableStyleMedium2" defaultPivotStyle="PivotStyleLight16"/>
  <colors>
    <mruColors>
      <color rgb="FFDCC9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6"/>
  <sheetViews>
    <sheetView tabSelected="1" zoomScaleNormal="100" workbookViewId="0">
      <pane xSplit="2" ySplit="1" topLeftCell="C145" activePane="bottomRight" state="frozen"/>
      <selection pane="topRight" activeCell="C1" sqref="C1"/>
      <selection pane="bottomLeft" activeCell="A2" sqref="A2"/>
      <selection pane="bottomRight" activeCell="A145" sqref="A145"/>
    </sheetView>
  </sheetViews>
  <sheetFormatPr defaultColWidth="9.1796875" defaultRowHeight="14.5"/>
  <cols>
    <col min="1" max="1" width="28.54296875" style="9" customWidth="1"/>
    <col min="2" max="2" width="25.26953125" style="9" customWidth="1"/>
    <col min="3" max="3" width="62.1796875" style="9" customWidth="1"/>
    <col min="4" max="4" width="28.7265625" style="9" customWidth="1"/>
    <col min="5" max="5" width="14.7265625" style="9" customWidth="1"/>
    <col min="6" max="6" width="14.54296875" style="9" customWidth="1"/>
    <col min="7" max="7" width="15.1796875" style="9" customWidth="1"/>
    <col min="8" max="8" width="24.81640625" style="9" customWidth="1"/>
    <col min="9" max="9" width="11" style="9" customWidth="1"/>
    <col min="10" max="10" width="13.54296875" style="9" bestFit="1" customWidth="1"/>
    <col min="11" max="11" width="11.26953125" style="9" bestFit="1" customWidth="1"/>
    <col min="12" max="12" width="32.7265625" style="9" customWidth="1"/>
    <col min="13" max="13" width="12.1796875" style="9" bestFit="1" customWidth="1"/>
    <col min="14" max="14" width="39.54296875" style="9" customWidth="1"/>
    <col min="15" max="15" width="14.26953125" style="9" customWidth="1"/>
    <col min="16" max="16384" width="9.1796875" style="9"/>
  </cols>
  <sheetData>
    <row r="1" spans="1:16" s="8" customFormat="1">
      <c r="A1" s="7" t="s">
        <v>7</v>
      </c>
      <c r="B1" s="7" t="s">
        <v>8</v>
      </c>
      <c r="C1" s="7" t="s">
        <v>9</v>
      </c>
      <c r="D1" s="7" t="s">
        <v>472</v>
      </c>
      <c r="E1" s="7" t="s">
        <v>10</v>
      </c>
      <c r="F1" s="7" t="s">
        <v>11</v>
      </c>
      <c r="G1" s="7" t="s">
        <v>12</v>
      </c>
      <c r="H1" s="7" t="s">
        <v>349</v>
      </c>
      <c r="I1" s="7" t="s">
        <v>13</v>
      </c>
      <c r="J1" s="7" t="s">
        <v>14</v>
      </c>
      <c r="K1" s="7" t="s">
        <v>15</v>
      </c>
      <c r="L1" s="7" t="s">
        <v>16</v>
      </c>
      <c r="M1" s="7" t="s">
        <v>17</v>
      </c>
      <c r="N1" s="7" t="s">
        <v>18</v>
      </c>
      <c r="O1" s="7" t="s">
        <v>101</v>
      </c>
      <c r="P1" s="7"/>
    </row>
    <row r="2" spans="1:16">
      <c r="A2" s="9" t="s">
        <v>20</v>
      </c>
      <c r="B2" s="9" t="s">
        <v>100</v>
      </c>
    </row>
    <row r="3" spans="1:16">
      <c r="A3" s="9" t="s">
        <v>5</v>
      </c>
      <c r="B3" s="9" t="s">
        <v>21</v>
      </c>
    </row>
    <row r="4" spans="1:16">
      <c r="A4" s="9" t="s">
        <v>22</v>
      </c>
      <c r="B4" s="9" t="s">
        <v>22</v>
      </c>
    </row>
    <row r="5" spans="1:16" s="17" customFormat="1" ht="43.5">
      <c r="A5" s="17" t="s">
        <v>24</v>
      </c>
      <c r="B5" s="17" t="s">
        <v>255</v>
      </c>
      <c r="C5" s="17" t="s">
        <v>372</v>
      </c>
    </row>
    <row r="7" spans="1:16" s="13" customFormat="1">
      <c r="A7" s="13" t="s">
        <v>51</v>
      </c>
      <c r="B7" s="13" t="s">
        <v>256</v>
      </c>
      <c r="C7" s="12" t="s">
        <v>257</v>
      </c>
    </row>
    <row r="8" spans="1:16" s="18" customFormat="1">
      <c r="A8" s="18" t="s">
        <v>26</v>
      </c>
      <c r="B8" s="18" t="s">
        <v>223</v>
      </c>
      <c r="C8" s="18" t="s">
        <v>45</v>
      </c>
      <c r="I8" s="18" t="s">
        <v>105</v>
      </c>
    </row>
    <row r="9" spans="1:16" s="18" customFormat="1" ht="29">
      <c r="A9" s="18" t="s">
        <v>27</v>
      </c>
      <c r="B9" s="18" t="s">
        <v>224</v>
      </c>
      <c r="C9" s="18" t="s">
        <v>46</v>
      </c>
      <c r="F9" s="18" t="s">
        <v>484</v>
      </c>
      <c r="I9" s="18" t="s">
        <v>105</v>
      </c>
    </row>
    <row r="10" spans="1:16" s="18" customFormat="1" ht="29">
      <c r="A10" s="18" t="s">
        <v>37</v>
      </c>
      <c r="B10" s="18" t="s">
        <v>225</v>
      </c>
      <c r="C10" s="18" t="s">
        <v>47</v>
      </c>
      <c r="F10" s="18" t="s">
        <v>485</v>
      </c>
      <c r="I10" s="18" t="s">
        <v>105</v>
      </c>
    </row>
    <row r="11" spans="1:16" s="18" customFormat="1" ht="29">
      <c r="A11" s="18" t="s">
        <v>41</v>
      </c>
      <c r="B11" s="18" t="s">
        <v>226</v>
      </c>
      <c r="C11" s="18" t="s">
        <v>258</v>
      </c>
      <c r="F11" s="18" t="s">
        <v>485</v>
      </c>
      <c r="I11" s="18" t="s">
        <v>105</v>
      </c>
    </row>
    <row r="12" spans="1:16" s="18" customFormat="1" ht="64.5" customHeight="1">
      <c r="A12" s="18" t="s">
        <v>25</v>
      </c>
      <c r="B12" s="18" t="s">
        <v>43</v>
      </c>
      <c r="C12" s="18" t="s">
        <v>44</v>
      </c>
      <c r="D12" s="18" t="s">
        <v>48</v>
      </c>
      <c r="I12" s="18" t="s">
        <v>105</v>
      </c>
    </row>
    <row r="13" spans="1:16" s="10" customFormat="1" ht="36.75" customHeight="1">
      <c r="A13" s="10" t="s">
        <v>23</v>
      </c>
      <c r="B13" s="10" t="s">
        <v>192</v>
      </c>
      <c r="N13" s="10" t="s">
        <v>504</v>
      </c>
    </row>
    <row r="14" spans="1:16" s="13" customFormat="1">
      <c r="A14" s="13" t="s">
        <v>51</v>
      </c>
      <c r="B14" s="13" t="s">
        <v>214</v>
      </c>
      <c r="C14" s="13" t="s">
        <v>77</v>
      </c>
      <c r="J14" s="13" t="s">
        <v>52</v>
      </c>
    </row>
    <row r="15" spans="1:16">
      <c r="A15" s="9" t="s">
        <v>53</v>
      </c>
      <c r="B15" s="9" t="s">
        <v>53</v>
      </c>
      <c r="C15" s="9" t="s">
        <v>54</v>
      </c>
    </row>
    <row r="16" spans="1:16">
      <c r="A16" s="9" t="s">
        <v>56</v>
      </c>
      <c r="B16" s="9" t="s">
        <v>228</v>
      </c>
      <c r="C16" s="9" t="s">
        <v>259</v>
      </c>
      <c r="I16" s="9" t="s">
        <v>105</v>
      </c>
      <c r="L16" s="20" t="s">
        <v>229</v>
      </c>
    </row>
    <row r="17" spans="1:12" s="14" customFormat="1">
      <c r="A17" s="14" t="s">
        <v>55</v>
      </c>
      <c r="B17" s="14" t="s">
        <v>214</v>
      </c>
    </row>
    <row r="18" spans="1:12" ht="29">
      <c r="A18" s="9" t="s">
        <v>72</v>
      </c>
      <c r="B18" s="9" t="s">
        <v>261</v>
      </c>
      <c r="C18" s="9" t="s">
        <v>350</v>
      </c>
      <c r="I18" s="9" t="s">
        <v>105</v>
      </c>
      <c r="L18" s="20"/>
    </row>
    <row r="19" spans="1:12" s="14" customFormat="1">
      <c r="A19" s="14" t="s">
        <v>55</v>
      </c>
      <c r="B19" s="14" t="s">
        <v>256</v>
      </c>
    </row>
    <row r="21" spans="1:12" s="13" customFormat="1">
      <c r="A21" s="13" t="s">
        <v>51</v>
      </c>
      <c r="B21" s="13" t="s">
        <v>193</v>
      </c>
      <c r="C21" s="12" t="s">
        <v>71</v>
      </c>
      <c r="J21" s="13" t="s">
        <v>227</v>
      </c>
      <c r="L21" s="13" t="s">
        <v>262</v>
      </c>
    </row>
    <row r="22" spans="1:12" ht="49.5" customHeight="1">
      <c r="A22" s="15" t="s">
        <v>72</v>
      </c>
      <c r="B22" s="15" t="s">
        <v>75</v>
      </c>
      <c r="C22" s="15" t="s">
        <v>453</v>
      </c>
      <c r="I22" s="9" t="s">
        <v>105</v>
      </c>
    </row>
    <row r="23" spans="1:12" ht="21" customHeight="1">
      <c r="A23" s="15" t="s">
        <v>72</v>
      </c>
      <c r="B23" s="15" t="s">
        <v>76</v>
      </c>
      <c r="C23" s="15" t="s">
        <v>260</v>
      </c>
      <c r="D23" s="15"/>
      <c r="I23" s="9" t="s">
        <v>105</v>
      </c>
      <c r="L23" s="9" t="s">
        <v>457</v>
      </c>
    </row>
    <row r="24" spans="1:12" s="11" customFormat="1" ht="72.5">
      <c r="A24" s="28" t="s">
        <v>24</v>
      </c>
      <c r="B24" s="28" t="s">
        <v>454</v>
      </c>
      <c r="C24" s="28" t="s">
        <v>455</v>
      </c>
      <c r="D24" s="28"/>
      <c r="L24" s="11" t="s">
        <v>456</v>
      </c>
    </row>
    <row r="25" spans="1:12" s="14" customFormat="1">
      <c r="A25" s="14" t="s">
        <v>55</v>
      </c>
      <c r="B25" s="14" t="s">
        <v>193</v>
      </c>
    </row>
    <row r="27" spans="1:12" s="13" customFormat="1">
      <c r="A27" s="13" t="s">
        <v>51</v>
      </c>
      <c r="B27" s="13" t="s">
        <v>213</v>
      </c>
      <c r="C27" s="13" t="s">
        <v>467</v>
      </c>
      <c r="L27" s="13" t="s">
        <v>340</v>
      </c>
    </row>
    <row r="28" spans="1:12" s="22" customFormat="1"/>
    <row r="29" spans="1:12" s="13" customFormat="1">
      <c r="A29" s="13" t="s">
        <v>51</v>
      </c>
      <c r="B29" s="13" t="s">
        <v>210</v>
      </c>
      <c r="C29" s="13" t="s">
        <v>102</v>
      </c>
    </row>
    <row r="30" spans="1:12">
      <c r="A30" s="9" t="s">
        <v>56</v>
      </c>
      <c r="B30" s="9" t="s">
        <v>57</v>
      </c>
      <c r="C30" s="9" t="s">
        <v>58</v>
      </c>
      <c r="I30" s="9" t="s">
        <v>105</v>
      </c>
    </row>
    <row r="31" spans="1:12">
      <c r="A31" s="9" t="s">
        <v>56</v>
      </c>
      <c r="B31" s="9" t="s">
        <v>60</v>
      </c>
      <c r="C31" s="9" t="s">
        <v>61</v>
      </c>
      <c r="D31" s="9" t="s">
        <v>410</v>
      </c>
      <c r="J31" s="9" t="s">
        <v>59</v>
      </c>
    </row>
    <row r="32" spans="1:12">
      <c r="A32" s="9" t="s">
        <v>65</v>
      </c>
      <c r="B32" s="9" t="s">
        <v>64</v>
      </c>
      <c r="C32" s="9" t="s">
        <v>264</v>
      </c>
      <c r="I32" s="9" t="s">
        <v>105</v>
      </c>
    </row>
    <row r="33" spans="1:14">
      <c r="A33" s="9" t="s">
        <v>62</v>
      </c>
      <c r="B33" s="9" t="s">
        <v>263</v>
      </c>
      <c r="C33" s="9" t="s">
        <v>69</v>
      </c>
      <c r="I33" s="9" t="s">
        <v>105</v>
      </c>
      <c r="L33" s="9" t="s">
        <v>230</v>
      </c>
    </row>
    <row r="34" spans="1:14" ht="43.5">
      <c r="A34" s="9" t="s">
        <v>107</v>
      </c>
      <c r="B34" s="9" t="s">
        <v>416</v>
      </c>
      <c r="C34" s="9" t="s">
        <v>417</v>
      </c>
      <c r="D34" s="9" t="s">
        <v>419</v>
      </c>
      <c r="L34" s="9" t="s">
        <v>230</v>
      </c>
    </row>
    <row r="35" spans="1:14" ht="29">
      <c r="A35" s="9" t="s">
        <v>56</v>
      </c>
      <c r="B35" s="9" t="s">
        <v>63</v>
      </c>
      <c r="C35" s="9" t="s">
        <v>70</v>
      </c>
      <c r="I35" s="9" t="s">
        <v>105</v>
      </c>
      <c r="J35" s="9" t="s">
        <v>59</v>
      </c>
      <c r="L35" s="9" t="s">
        <v>418</v>
      </c>
    </row>
    <row r="36" spans="1:14" s="14" customFormat="1">
      <c r="A36" s="14" t="s">
        <v>55</v>
      </c>
      <c r="B36" s="14" t="s">
        <v>210</v>
      </c>
    </row>
    <row r="38" spans="1:14" s="13" customFormat="1">
      <c r="A38" s="13" t="s">
        <v>51</v>
      </c>
      <c r="B38" s="13" t="s">
        <v>265</v>
      </c>
      <c r="C38" s="13" t="s">
        <v>266</v>
      </c>
    </row>
    <row r="39" spans="1:14" s="11" customFormat="1" ht="130.5">
      <c r="A39" s="11" t="s">
        <v>24</v>
      </c>
      <c r="B39" s="11" t="s">
        <v>211</v>
      </c>
      <c r="C39" s="11" t="s">
        <v>351</v>
      </c>
      <c r="D39" s="21"/>
    </row>
    <row r="40" spans="1:14" s="16" customFormat="1">
      <c r="A40" s="16" t="s">
        <v>79</v>
      </c>
      <c r="B40" s="16" t="s">
        <v>80</v>
      </c>
      <c r="C40" s="16" t="s">
        <v>231</v>
      </c>
    </row>
    <row r="41" spans="1:14" s="10" customFormat="1">
      <c r="A41" s="10" t="s">
        <v>23</v>
      </c>
      <c r="B41" s="10" t="s">
        <v>352</v>
      </c>
      <c r="N41" s="10" t="s">
        <v>370</v>
      </c>
    </row>
    <row r="42" spans="1:14" ht="29">
      <c r="A42" s="9" t="s">
        <v>56</v>
      </c>
      <c r="B42" s="9" t="s">
        <v>8</v>
      </c>
      <c r="C42" s="9" t="s">
        <v>353</v>
      </c>
      <c r="I42" s="9" t="s">
        <v>105</v>
      </c>
    </row>
    <row r="43" spans="1:14" s="10" customFormat="1">
      <c r="A43" s="10" t="s">
        <v>23</v>
      </c>
      <c r="B43" s="10" t="s">
        <v>250</v>
      </c>
      <c r="N43" s="10" t="s">
        <v>208</v>
      </c>
    </row>
    <row r="44" spans="1:14" s="13" customFormat="1">
      <c r="A44" s="13" t="s">
        <v>51</v>
      </c>
      <c r="B44" s="13" t="s">
        <v>194</v>
      </c>
      <c r="C44" s="13" t="s">
        <v>175</v>
      </c>
    </row>
    <row r="45" spans="1:14" s="18" customFormat="1">
      <c r="A45" s="18" t="s">
        <v>72</v>
      </c>
      <c r="B45" s="18" t="s">
        <v>553</v>
      </c>
      <c r="C45" s="18" t="s">
        <v>554</v>
      </c>
    </row>
    <row r="46" spans="1:14">
      <c r="A46" s="9" t="s">
        <v>82</v>
      </c>
      <c r="B46" s="9" t="s">
        <v>81</v>
      </c>
      <c r="C46" s="9" t="s">
        <v>267</v>
      </c>
      <c r="I46" s="9" t="s">
        <v>105</v>
      </c>
    </row>
    <row r="47" spans="1:14" ht="58">
      <c r="A47" s="9" t="s">
        <v>25</v>
      </c>
      <c r="B47" s="9" t="s">
        <v>88</v>
      </c>
      <c r="C47" s="9" t="s">
        <v>268</v>
      </c>
      <c r="D47" s="9" t="s">
        <v>348</v>
      </c>
      <c r="G47" s="9" t="s">
        <v>86</v>
      </c>
      <c r="H47" s="9" t="s">
        <v>87</v>
      </c>
      <c r="I47" s="9" t="s">
        <v>105</v>
      </c>
    </row>
    <row r="48" spans="1:14" ht="29">
      <c r="A48" s="15" t="s">
        <v>25</v>
      </c>
      <c r="B48" s="15" t="s">
        <v>89</v>
      </c>
      <c r="C48" s="15" t="s">
        <v>269</v>
      </c>
      <c r="D48" s="15"/>
      <c r="E48" s="15"/>
      <c r="F48" s="15"/>
      <c r="G48" s="15" t="s">
        <v>90</v>
      </c>
      <c r="H48" s="15" t="s">
        <v>91</v>
      </c>
      <c r="I48" s="15" t="s">
        <v>105</v>
      </c>
      <c r="J48" s="15"/>
      <c r="K48" s="15"/>
      <c r="L48" s="15" t="s">
        <v>92</v>
      </c>
    </row>
    <row r="49" spans="1:14" ht="29">
      <c r="A49" s="9" t="s">
        <v>72</v>
      </c>
      <c r="B49" s="9" t="s">
        <v>95</v>
      </c>
      <c r="C49" s="9" t="s">
        <v>270</v>
      </c>
      <c r="I49" s="9" t="s">
        <v>105</v>
      </c>
      <c r="L49" s="9" t="s">
        <v>556</v>
      </c>
    </row>
    <row r="50" spans="1:14" ht="43.5">
      <c r="A50" s="9" t="s">
        <v>72</v>
      </c>
      <c r="B50" s="9" t="s">
        <v>93</v>
      </c>
      <c r="C50" s="9" t="s">
        <v>373</v>
      </c>
      <c r="I50" s="9" t="s">
        <v>105</v>
      </c>
    </row>
    <row r="51" spans="1:14" s="14" customFormat="1">
      <c r="A51" s="14" t="s">
        <v>55</v>
      </c>
      <c r="B51" s="14" t="s">
        <v>194</v>
      </c>
    </row>
    <row r="52" spans="1:14" s="10" customFormat="1">
      <c r="A52" s="10" t="s">
        <v>23</v>
      </c>
      <c r="B52" s="10" t="s">
        <v>242</v>
      </c>
      <c r="N52" s="10" t="s">
        <v>400</v>
      </c>
    </row>
    <row r="53" spans="1:14" s="10" customFormat="1">
      <c r="A53" s="10" t="s">
        <v>23</v>
      </c>
      <c r="B53" s="10" t="s">
        <v>243</v>
      </c>
      <c r="N53" s="10" t="s">
        <v>401</v>
      </c>
    </row>
    <row r="54" spans="1:14" s="10" customFormat="1" ht="29">
      <c r="A54" s="10" t="s">
        <v>23</v>
      </c>
      <c r="B54" s="10" t="s">
        <v>244</v>
      </c>
      <c r="N54" s="10" t="s">
        <v>402</v>
      </c>
    </row>
    <row r="55" spans="1:14" s="10" customFormat="1">
      <c r="A55" s="10" t="s">
        <v>23</v>
      </c>
      <c r="B55" s="10" t="s">
        <v>245</v>
      </c>
      <c r="N55" s="10" t="s">
        <v>403</v>
      </c>
    </row>
    <row r="56" spans="1:14" s="13" customFormat="1">
      <c r="A56" s="13" t="s">
        <v>51</v>
      </c>
      <c r="B56" s="13" t="s">
        <v>195</v>
      </c>
      <c r="C56" s="13" t="s">
        <v>468</v>
      </c>
    </row>
    <row r="57" spans="1:14">
      <c r="A57" s="9" t="s">
        <v>72</v>
      </c>
      <c r="B57" s="9" t="s">
        <v>274</v>
      </c>
      <c r="C57" s="9" t="s">
        <v>271</v>
      </c>
      <c r="I57" s="9" t="s">
        <v>105</v>
      </c>
    </row>
    <row r="58" spans="1:14">
      <c r="A58" s="9" t="s">
        <v>107</v>
      </c>
      <c r="B58" s="9" t="s">
        <v>275</v>
      </c>
      <c r="C58" s="9" t="s">
        <v>272</v>
      </c>
      <c r="I58" s="9" t="s">
        <v>105</v>
      </c>
      <c r="L58" s="9" t="s">
        <v>281</v>
      </c>
    </row>
    <row r="59" spans="1:14">
      <c r="A59" s="9" t="s">
        <v>196</v>
      </c>
      <c r="B59" s="9" t="s">
        <v>206</v>
      </c>
      <c r="C59" s="9" t="s">
        <v>273</v>
      </c>
      <c r="I59" s="9" t="s">
        <v>105</v>
      </c>
      <c r="L59" s="9" t="s">
        <v>278</v>
      </c>
    </row>
    <row r="60" spans="1:14" ht="29">
      <c r="A60" s="9" t="s">
        <v>56</v>
      </c>
      <c r="B60" s="9" t="s">
        <v>252</v>
      </c>
      <c r="C60" s="9" t="s">
        <v>276</v>
      </c>
      <c r="I60" s="9" t="s">
        <v>105</v>
      </c>
      <c r="L60" s="9" t="s">
        <v>562</v>
      </c>
    </row>
    <row r="61" spans="1:14" ht="32.25" customHeight="1">
      <c r="A61" s="9" t="s">
        <v>56</v>
      </c>
      <c r="B61" s="9" t="s">
        <v>207</v>
      </c>
      <c r="C61" s="9" t="s">
        <v>277</v>
      </c>
      <c r="L61" s="9" t="s">
        <v>278</v>
      </c>
    </row>
    <row r="62" spans="1:14" s="14" customFormat="1">
      <c r="A62" s="14" t="s">
        <v>55</v>
      </c>
      <c r="B62" s="14" t="s">
        <v>195</v>
      </c>
    </row>
    <row r="63" spans="1:14" s="16" customFormat="1">
      <c r="A63" s="16" t="s">
        <v>94</v>
      </c>
      <c r="B63" s="16" t="s">
        <v>80</v>
      </c>
    </row>
    <row r="64" spans="1:14" s="14" customFormat="1">
      <c r="A64" s="14" t="s">
        <v>55</v>
      </c>
      <c r="B64" s="14" t="s">
        <v>265</v>
      </c>
    </row>
    <row r="66" spans="1:14" s="13" customFormat="1">
      <c r="A66" s="13" t="s">
        <v>51</v>
      </c>
      <c r="B66" s="13" t="s">
        <v>212</v>
      </c>
      <c r="C66" s="13" t="s">
        <v>469</v>
      </c>
      <c r="J66" s="13" t="s">
        <v>52</v>
      </c>
    </row>
    <row r="67" spans="1:14" s="10" customFormat="1">
      <c r="A67" s="10" t="s">
        <v>23</v>
      </c>
      <c r="B67" s="10" t="s">
        <v>238</v>
      </c>
      <c r="N67" s="10" t="s">
        <v>246</v>
      </c>
    </row>
    <row r="68" spans="1:14" s="10" customFormat="1">
      <c r="A68" s="10" t="s">
        <v>23</v>
      </c>
      <c r="B68" s="10" t="s">
        <v>239</v>
      </c>
      <c r="N68" s="10" t="s">
        <v>247</v>
      </c>
    </row>
    <row r="69" spans="1:14" s="10" customFormat="1">
      <c r="A69" s="10" t="s">
        <v>23</v>
      </c>
      <c r="B69" s="10" t="s">
        <v>240</v>
      </c>
      <c r="N69" s="10" t="s">
        <v>248</v>
      </c>
    </row>
    <row r="70" spans="1:14" s="10" customFormat="1">
      <c r="A70" s="10" t="s">
        <v>23</v>
      </c>
      <c r="B70" s="10" t="s">
        <v>241</v>
      </c>
      <c r="N70" s="10" t="s">
        <v>249</v>
      </c>
    </row>
    <row r="71" spans="1:14" s="11" customFormat="1" ht="72.5">
      <c r="A71" s="11" t="s">
        <v>24</v>
      </c>
      <c r="B71" s="11" t="s">
        <v>96</v>
      </c>
      <c r="C71" s="11" t="s">
        <v>404</v>
      </c>
    </row>
    <row r="72" spans="1:14" s="11" customFormat="1">
      <c r="A72" s="11" t="s">
        <v>24</v>
      </c>
      <c r="B72" s="11" t="s">
        <v>97</v>
      </c>
      <c r="C72" s="11" t="s">
        <v>279</v>
      </c>
    </row>
    <row r="73" spans="1:14" s="11" customFormat="1">
      <c r="A73" s="11" t="s">
        <v>24</v>
      </c>
      <c r="B73" s="11" t="s">
        <v>98</v>
      </c>
      <c r="C73" s="11" t="s">
        <v>354</v>
      </c>
    </row>
    <row r="74" spans="1:14" s="11" customFormat="1">
      <c r="A74" s="11" t="s">
        <v>24</v>
      </c>
      <c r="B74" s="11" t="s">
        <v>99</v>
      </c>
      <c r="C74" s="11" t="s">
        <v>280</v>
      </c>
    </row>
    <row r="75" spans="1:14" s="14" customFormat="1">
      <c r="A75" s="14" t="s">
        <v>55</v>
      </c>
      <c r="B75" s="14" t="s">
        <v>212</v>
      </c>
    </row>
    <row r="77" spans="1:14" s="13" customFormat="1">
      <c r="A77" s="13" t="s">
        <v>51</v>
      </c>
      <c r="B77" s="13" t="s">
        <v>292</v>
      </c>
      <c r="C77" s="13" t="s">
        <v>294</v>
      </c>
    </row>
    <row r="78" spans="1:14" ht="116">
      <c r="A78" s="9" t="s">
        <v>107</v>
      </c>
      <c r="B78" s="9" t="s">
        <v>108</v>
      </c>
      <c r="C78" s="9" t="s">
        <v>356</v>
      </c>
      <c r="D78" s="18" t="s">
        <v>355</v>
      </c>
      <c r="I78" s="9" t="s">
        <v>105</v>
      </c>
    </row>
    <row r="79" spans="1:14" ht="31.5" customHeight="1">
      <c r="A79" s="9" t="s">
        <v>109</v>
      </c>
      <c r="B79" s="9" t="s">
        <v>112</v>
      </c>
      <c r="C79" s="9" t="s">
        <v>115</v>
      </c>
      <c r="D79" s="9" t="s">
        <v>114</v>
      </c>
      <c r="I79" s="9" t="s">
        <v>105</v>
      </c>
      <c r="L79" s="9" t="s">
        <v>560</v>
      </c>
    </row>
    <row r="80" spans="1:14">
      <c r="A80" s="9" t="s">
        <v>56</v>
      </c>
      <c r="B80" s="9" t="s">
        <v>113</v>
      </c>
      <c r="C80" s="9" t="s">
        <v>115</v>
      </c>
      <c r="D80" s="9" t="s">
        <v>119</v>
      </c>
      <c r="I80" s="9" t="s">
        <v>105</v>
      </c>
      <c r="L80" s="9" t="s">
        <v>561</v>
      </c>
    </row>
    <row r="82" spans="1:14" s="13" customFormat="1">
      <c r="A82" s="13" t="s">
        <v>51</v>
      </c>
      <c r="B82" s="13" t="s">
        <v>282</v>
      </c>
      <c r="C82" s="13" t="s">
        <v>284</v>
      </c>
      <c r="L82" s="13" t="s">
        <v>190</v>
      </c>
    </row>
    <row r="83" spans="1:14" ht="58">
      <c r="A83" s="9" t="s">
        <v>72</v>
      </c>
      <c r="B83" s="9" t="s">
        <v>122</v>
      </c>
      <c r="C83" s="9" t="s">
        <v>283</v>
      </c>
      <c r="I83" s="9" t="s">
        <v>105</v>
      </c>
    </row>
    <row r="84" spans="1:14" s="13" customFormat="1">
      <c r="A84" s="13" t="s">
        <v>51</v>
      </c>
      <c r="B84" s="13" t="s">
        <v>215</v>
      </c>
      <c r="C84" s="13" t="s">
        <v>172</v>
      </c>
      <c r="L84" s="13" t="s">
        <v>130</v>
      </c>
    </row>
    <row r="85" spans="1:14">
      <c r="A85" s="9" t="s">
        <v>72</v>
      </c>
      <c r="B85" s="9" t="s">
        <v>120</v>
      </c>
      <c r="C85" s="9" t="s">
        <v>121</v>
      </c>
      <c r="I85" s="9" t="s">
        <v>105</v>
      </c>
    </row>
    <row r="86" spans="1:14" ht="43.5">
      <c r="A86" s="9" t="s">
        <v>25</v>
      </c>
      <c r="B86" s="9" t="s">
        <v>123</v>
      </c>
      <c r="C86" s="9" t="s">
        <v>124</v>
      </c>
      <c r="D86" s="9" t="s">
        <v>127</v>
      </c>
      <c r="G86" s="9" t="s">
        <v>380</v>
      </c>
      <c r="H86" s="9" t="s">
        <v>381</v>
      </c>
      <c r="I86" s="9" t="s">
        <v>105</v>
      </c>
      <c r="L86" s="9" t="s">
        <v>285</v>
      </c>
    </row>
    <row r="87" spans="1:14" ht="47.25" customHeight="1">
      <c r="A87" s="9" t="s">
        <v>25</v>
      </c>
      <c r="B87" s="9" t="s">
        <v>125</v>
      </c>
      <c r="C87" s="9" t="s">
        <v>126</v>
      </c>
      <c r="D87" s="9" t="s">
        <v>128</v>
      </c>
      <c r="G87" s="9" t="s">
        <v>379</v>
      </c>
      <c r="H87" s="9" t="s">
        <v>382</v>
      </c>
      <c r="I87" s="9" t="s">
        <v>105</v>
      </c>
      <c r="L87" s="9" t="s">
        <v>285</v>
      </c>
    </row>
    <row r="88" spans="1:14" s="10" customFormat="1" ht="43.5">
      <c r="A88" s="10" t="s">
        <v>23</v>
      </c>
      <c r="B88" s="10" t="s">
        <v>288</v>
      </c>
      <c r="L88" s="10" t="s">
        <v>285</v>
      </c>
      <c r="N88" s="23" t="s">
        <v>342</v>
      </c>
    </row>
    <row r="89" spans="1:14" s="14" customFormat="1">
      <c r="A89" s="14" t="s">
        <v>55</v>
      </c>
      <c r="B89" s="14" t="s">
        <v>215</v>
      </c>
    </row>
    <row r="90" spans="1:14" s="13" customFormat="1" ht="29">
      <c r="A90" s="13" t="s">
        <v>51</v>
      </c>
      <c r="B90" s="13" t="s">
        <v>216</v>
      </c>
      <c r="C90" s="13" t="s">
        <v>171</v>
      </c>
      <c r="L90" s="13" t="s">
        <v>251</v>
      </c>
    </row>
    <row r="91" spans="1:14" ht="43.5">
      <c r="A91" s="9" t="s">
        <v>72</v>
      </c>
      <c r="B91" s="9" t="s">
        <v>131</v>
      </c>
      <c r="C91" s="9" t="s">
        <v>129</v>
      </c>
      <c r="I91" s="9" t="s">
        <v>105</v>
      </c>
    </row>
    <row r="92" spans="1:14" ht="43.5">
      <c r="A92" s="9" t="s">
        <v>25</v>
      </c>
      <c r="B92" s="9" t="s">
        <v>132</v>
      </c>
      <c r="C92" s="9" t="s">
        <v>135</v>
      </c>
      <c r="D92" s="9" t="s">
        <v>134</v>
      </c>
      <c r="G92" s="9" t="s">
        <v>380</v>
      </c>
      <c r="H92" s="9" t="s">
        <v>381</v>
      </c>
      <c r="I92" s="9" t="s">
        <v>105</v>
      </c>
      <c r="L92" s="9" t="s">
        <v>137</v>
      </c>
    </row>
    <row r="93" spans="1:14" ht="43.5">
      <c r="A93" s="9" t="s">
        <v>25</v>
      </c>
      <c r="B93" s="9" t="s">
        <v>133</v>
      </c>
      <c r="C93" s="9" t="s">
        <v>136</v>
      </c>
      <c r="D93" s="9" t="s">
        <v>134</v>
      </c>
      <c r="G93" s="9" t="s">
        <v>379</v>
      </c>
      <c r="H93" s="9" t="s">
        <v>382</v>
      </c>
      <c r="I93" s="9" t="s">
        <v>105</v>
      </c>
      <c r="L93" s="9" t="s">
        <v>137</v>
      </c>
    </row>
    <row r="94" spans="1:14" s="10" customFormat="1" ht="58">
      <c r="A94" s="10" t="s">
        <v>23</v>
      </c>
      <c r="B94" s="10" t="s">
        <v>289</v>
      </c>
      <c r="L94" s="10" t="s">
        <v>137</v>
      </c>
      <c r="N94" s="23" t="s">
        <v>343</v>
      </c>
    </row>
    <row r="95" spans="1:14" s="14" customFormat="1">
      <c r="A95" s="14" t="s">
        <v>55</v>
      </c>
      <c r="B95" s="14" t="s">
        <v>216</v>
      </c>
    </row>
    <row r="96" spans="1:14" s="13" customFormat="1">
      <c r="A96" s="13" t="s">
        <v>51</v>
      </c>
      <c r="B96" s="13" t="s">
        <v>217</v>
      </c>
      <c r="C96" s="13" t="s">
        <v>470</v>
      </c>
    </row>
    <row r="97" spans="1:14" s="13" customFormat="1">
      <c r="A97" s="13" t="s">
        <v>51</v>
      </c>
      <c r="B97" s="13" t="s">
        <v>232</v>
      </c>
      <c r="C97" s="13" t="s">
        <v>233</v>
      </c>
      <c r="J97" s="13" t="s">
        <v>227</v>
      </c>
    </row>
    <row r="98" spans="1:14" ht="66" customHeight="1">
      <c r="A98" s="9" t="s">
        <v>25</v>
      </c>
      <c r="B98" s="9" t="s">
        <v>138</v>
      </c>
      <c r="C98" s="9" t="s">
        <v>399</v>
      </c>
      <c r="G98" s="9" t="s">
        <v>362</v>
      </c>
      <c r="H98" s="9" t="s">
        <v>139</v>
      </c>
      <c r="I98" s="9" t="s">
        <v>105</v>
      </c>
    </row>
    <row r="99" spans="1:14" ht="81.75" customHeight="1">
      <c r="A99" s="9" t="s">
        <v>25</v>
      </c>
      <c r="B99" s="9" t="s">
        <v>143</v>
      </c>
      <c r="C99" s="9" t="s">
        <v>375</v>
      </c>
      <c r="G99" s="9" t="s">
        <v>357</v>
      </c>
      <c r="H99" s="9" t="s">
        <v>378</v>
      </c>
      <c r="I99" s="9" t="s">
        <v>105</v>
      </c>
    </row>
    <row r="100" spans="1:14" s="14" customFormat="1">
      <c r="A100" s="14" t="s">
        <v>55</v>
      </c>
      <c r="B100" s="14" t="s">
        <v>232</v>
      </c>
    </row>
    <row r="101" spans="1:14" s="13" customFormat="1">
      <c r="A101" s="13" t="s">
        <v>51</v>
      </c>
      <c r="B101" s="13" t="s">
        <v>235</v>
      </c>
      <c r="C101" s="13" t="s">
        <v>234</v>
      </c>
      <c r="J101" s="13" t="s">
        <v>227</v>
      </c>
    </row>
    <row r="102" spans="1:14" ht="64.5" customHeight="1">
      <c r="A102" s="9" t="s">
        <v>25</v>
      </c>
      <c r="B102" s="9" t="s">
        <v>141</v>
      </c>
      <c r="C102" s="9" t="s">
        <v>140</v>
      </c>
      <c r="G102" s="9" t="s">
        <v>362</v>
      </c>
      <c r="H102" s="9" t="s">
        <v>142</v>
      </c>
      <c r="I102" s="9" t="s">
        <v>105</v>
      </c>
    </row>
    <row r="103" spans="1:14" ht="81.75" customHeight="1">
      <c r="A103" s="9" t="s">
        <v>25</v>
      </c>
      <c r="B103" s="9" t="s">
        <v>144</v>
      </c>
      <c r="C103" s="9" t="s">
        <v>376</v>
      </c>
      <c r="G103" s="9" t="s">
        <v>358</v>
      </c>
      <c r="H103" s="9" t="s">
        <v>359</v>
      </c>
      <c r="I103" s="9" t="s">
        <v>105</v>
      </c>
    </row>
    <row r="104" spans="1:14" s="14" customFormat="1">
      <c r="A104" s="14" t="s">
        <v>55</v>
      </c>
      <c r="B104" s="14" t="s">
        <v>235</v>
      </c>
    </row>
    <row r="105" spans="1:14" s="13" customFormat="1">
      <c r="A105" s="13" t="s">
        <v>51</v>
      </c>
      <c r="B105" s="13" t="s">
        <v>236</v>
      </c>
      <c r="C105" s="13" t="s">
        <v>237</v>
      </c>
      <c r="J105" s="13" t="s">
        <v>227</v>
      </c>
    </row>
    <row r="106" spans="1:14" ht="65.25" customHeight="1">
      <c r="A106" s="9" t="s">
        <v>25</v>
      </c>
      <c r="B106" s="9" t="s">
        <v>145</v>
      </c>
      <c r="C106" s="9" t="s">
        <v>147</v>
      </c>
      <c r="G106" s="9" t="s">
        <v>362</v>
      </c>
      <c r="H106" s="9" t="s">
        <v>148</v>
      </c>
      <c r="I106" s="9" t="s">
        <v>105</v>
      </c>
    </row>
    <row r="107" spans="1:14" ht="75" customHeight="1">
      <c r="A107" s="9" t="s">
        <v>25</v>
      </c>
      <c r="B107" s="9" t="s">
        <v>146</v>
      </c>
      <c r="C107" s="9" t="s">
        <v>377</v>
      </c>
      <c r="G107" s="9" t="s">
        <v>360</v>
      </c>
      <c r="H107" s="9" t="s">
        <v>361</v>
      </c>
      <c r="I107" s="9" t="s">
        <v>105</v>
      </c>
    </row>
    <row r="108" spans="1:14" s="14" customFormat="1">
      <c r="A108" s="14" t="s">
        <v>55</v>
      </c>
      <c r="B108" s="14" t="s">
        <v>236</v>
      </c>
    </row>
    <row r="109" spans="1:14" s="10" customFormat="1" ht="29">
      <c r="A109" s="10" t="s">
        <v>23</v>
      </c>
      <c r="B109" s="10" t="s">
        <v>254</v>
      </c>
      <c r="N109" s="10" t="s">
        <v>149</v>
      </c>
    </row>
    <row r="110" spans="1:14" s="11" customFormat="1" ht="272.25" customHeight="1">
      <c r="A110" s="11" t="s">
        <v>24</v>
      </c>
      <c r="B110" s="11" t="s">
        <v>405</v>
      </c>
      <c r="C110" s="11" t="s">
        <v>411</v>
      </c>
      <c r="L110" s="11" t="s">
        <v>414</v>
      </c>
    </row>
    <row r="111" spans="1:14" s="11" customFormat="1" ht="267.75" customHeight="1">
      <c r="A111" s="11" t="s">
        <v>24</v>
      </c>
      <c r="B111" s="11" t="s">
        <v>406</v>
      </c>
      <c r="C111" s="11" t="s">
        <v>412</v>
      </c>
      <c r="L111" s="11" t="s">
        <v>415</v>
      </c>
    </row>
    <row r="112" spans="1:14" ht="126" customHeight="1">
      <c r="A112" s="9" t="s">
        <v>72</v>
      </c>
      <c r="B112" s="9" t="s">
        <v>150</v>
      </c>
      <c r="C112" s="9" t="s">
        <v>407</v>
      </c>
      <c r="G112" s="9" t="s">
        <v>363</v>
      </c>
      <c r="H112" s="9" t="s">
        <v>151</v>
      </c>
      <c r="I112" s="9" t="s">
        <v>105</v>
      </c>
      <c r="L112" s="9" t="s">
        <v>413</v>
      </c>
    </row>
    <row r="113" spans="1:14" s="10" customFormat="1" ht="43.5">
      <c r="A113" s="10" t="s">
        <v>23</v>
      </c>
      <c r="B113" s="10" t="s">
        <v>290</v>
      </c>
      <c r="N113" s="23" t="s">
        <v>341</v>
      </c>
    </row>
    <row r="114" spans="1:14" s="14" customFormat="1">
      <c r="A114" s="14" t="s">
        <v>55</v>
      </c>
      <c r="B114" s="14" t="s">
        <v>217</v>
      </c>
      <c r="N114" s="19"/>
    </row>
    <row r="115" spans="1:14" s="10" customFormat="1" ht="43.5">
      <c r="A115" s="10" t="s">
        <v>23</v>
      </c>
      <c r="B115" s="10" t="s">
        <v>152</v>
      </c>
      <c r="N115" s="27" t="s">
        <v>338</v>
      </c>
    </row>
    <row r="116" spans="1:14" s="11" customFormat="1" ht="84.75" customHeight="1">
      <c r="A116" s="11" t="s">
        <v>24</v>
      </c>
      <c r="B116" s="11" t="s">
        <v>286</v>
      </c>
      <c r="C116" s="11" t="s">
        <v>365</v>
      </c>
      <c r="D116" s="17"/>
      <c r="L116" s="11" t="s">
        <v>291</v>
      </c>
    </row>
    <row r="117" spans="1:14" s="11" customFormat="1" ht="97.5" customHeight="1">
      <c r="A117" s="11" t="s">
        <v>24</v>
      </c>
      <c r="B117" s="11" t="s">
        <v>287</v>
      </c>
      <c r="C117" s="11" t="s">
        <v>364</v>
      </c>
      <c r="D117" s="17"/>
      <c r="L117" s="11" t="s">
        <v>371</v>
      </c>
    </row>
    <row r="118" spans="1:14" s="14" customFormat="1">
      <c r="A118" s="14" t="s">
        <v>55</v>
      </c>
      <c r="B118" s="14" t="s">
        <v>282</v>
      </c>
    </row>
    <row r="119" spans="1:14" s="14" customFormat="1">
      <c r="A119" s="14" t="s">
        <v>55</v>
      </c>
      <c r="B119" s="14" t="s">
        <v>292</v>
      </c>
    </row>
    <row r="121" spans="1:14" s="13" customFormat="1">
      <c r="A121" s="13" t="s">
        <v>51</v>
      </c>
      <c r="B121" s="13" t="s">
        <v>293</v>
      </c>
      <c r="C121" s="13" t="s">
        <v>295</v>
      </c>
    </row>
    <row r="122" spans="1:14" ht="34.5" customHeight="1">
      <c r="A122" s="9" t="s">
        <v>107</v>
      </c>
      <c r="B122" s="9" t="s">
        <v>154</v>
      </c>
      <c r="C122" s="9" t="s">
        <v>153</v>
      </c>
      <c r="I122" s="9" t="s">
        <v>105</v>
      </c>
    </row>
    <row r="123" spans="1:14" ht="72.5">
      <c r="A123" s="9" t="s">
        <v>72</v>
      </c>
      <c r="B123" s="9" t="s">
        <v>465</v>
      </c>
      <c r="C123" s="9" t="s">
        <v>466</v>
      </c>
      <c r="G123" s="9" t="s">
        <v>363</v>
      </c>
      <c r="H123" s="9" t="s">
        <v>474</v>
      </c>
      <c r="I123" s="9" t="s">
        <v>105</v>
      </c>
      <c r="L123" s="9" t="s">
        <v>464</v>
      </c>
    </row>
    <row r="124" spans="1:14" s="13" customFormat="1">
      <c r="A124" s="13" t="s">
        <v>51</v>
      </c>
      <c r="B124" s="13" t="s">
        <v>218</v>
      </c>
      <c r="C124" s="13" t="s">
        <v>387</v>
      </c>
      <c r="L124" s="13" t="s">
        <v>300</v>
      </c>
    </row>
    <row r="125" spans="1:14" s="18" customFormat="1" ht="29">
      <c r="A125" s="18" t="s">
        <v>426</v>
      </c>
      <c r="B125" s="18" t="s">
        <v>428</v>
      </c>
      <c r="C125" s="18" t="s">
        <v>443</v>
      </c>
      <c r="D125" s="18" t="s">
        <v>114</v>
      </c>
      <c r="I125" s="18" t="s">
        <v>105</v>
      </c>
    </row>
    <row r="126" spans="1:14" s="18" customFormat="1" ht="29">
      <c r="A126" s="18" t="s">
        <v>56</v>
      </c>
      <c r="B126" s="18" t="s">
        <v>429</v>
      </c>
      <c r="C126" s="18" t="s">
        <v>445</v>
      </c>
      <c r="D126" s="18" t="s">
        <v>119</v>
      </c>
      <c r="I126" s="18" t="s">
        <v>105</v>
      </c>
      <c r="L126" s="18" t="s">
        <v>557</v>
      </c>
    </row>
    <row r="127" spans="1:14" s="18" customFormat="1" ht="29">
      <c r="A127" s="18" t="s">
        <v>427</v>
      </c>
      <c r="B127" s="18" t="s">
        <v>430</v>
      </c>
      <c r="C127" s="18" t="s">
        <v>444</v>
      </c>
      <c r="D127" s="18" t="s">
        <v>114</v>
      </c>
      <c r="I127" s="18" t="s">
        <v>105</v>
      </c>
    </row>
    <row r="128" spans="1:14" s="18" customFormat="1" ht="29">
      <c r="A128" s="18" t="s">
        <v>56</v>
      </c>
      <c r="B128" s="18" t="s">
        <v>431</v>
      </c>
      <c r="C128" s="18" t="s">
        <v>444</v>
      </c>
      <c r="D128" s="18" t="s">
        <v>119</v>
      </c>
      <c r="I128" s="18" t="s">
        <v>105</v>
      </c>
      <c r="L128" s="18" t="s">
        <v>558</v>
      </c>
    </row>
    <row r="129" spans="1:14" s="14" customFormat="1">
      <c r="A129" s="14" t="s">
        <v>55</v>
      </c>
      <c r="B129" s="14" t="s">
        <v>218</v>
      </c>
      <c r="D129" s="19"/>
    </row>
    <row r="130" spans="1:14" s="13" customFormat="1">
      <c r="A130" s="13" t="s">
        <v>51</v>
      </c>
      <c r="B130" s="13" t="s">
        <v>219</v>
      </c>
      <c r="C130" s="13" t="s">
        <v>388</v>
      </c>
    </row>
    <row r="131" spans="1:14" ht="93.75" customHeight="1">
      <c r="A131" s="9" t="s">
        <v>25</v>
      </c>
      <c r="B131" s="9" t="s">
        <v>157</v>
      </c>
      <c r="C131" s="9" t="s">
        <v>156</v>
      </c>
      <c r="G131" s="9" t="s">
        <v>390</v>
      </c>
      <c r="H131" s="9" t="s">
        <v>389</v>
      </c>
      <c r="I131" s="9" t="s">
        <v>105</v>
      </c>
      <c r="L131" s="9" t="s">
        <v>301</v>
      </c>
    </row>
    <row r="132" spans="1:14" s="10" customFormat="1">
      <c r="A132" s="10" t="s">
        <v>23</v>
      </c>
      <c r="B132" s="10" t="s">
        <v>302</v>
      </c>
      <c r="N132" s="10" t="s">
        <v>339</v>
      </c>
    </row>
    <row r="133" spans="1:14" s="10" customFormat="1">
      <c r="A133" s="10" t="s">
        <v>23</v>
      </c>
      <c r="B133" s="10" t="s">
        <v>306</v>
      </c>
      <c r="N133" s="10" t="s">
        <v>303</v>
      </c>
    </row>
    <row r="134" spans="1:14" s="11" customFormat="1" ht="145">
      <c r="A134" s="11" t="s">
        <v>24</v>
      </c>
      <c r="B134" s="11" t="s">
        <v>304</v>
      </c>
      <c r="C134" s="11" t="s">
        <v>408</v>
      </c>
      <c r="L134" s="11" t="s">
        <v>459</v>
      </c>
    </row>
    <row r="135" spans="1:14" s="11" customFormat="1" ht="145">
      <c r="A135" s="11" t="s">
        <v>24</v>
      </c>
      <c r="B135" s="11" t="s">
        <v>305</v>
      </c>
      <c r="C135" s="11" t="s">
        <v>409</v>
      </c>
      <c r="L135" s="11" t="s">
        <v>460</v>
      </c>
    </row>
    <row r="136" spans="1:14" s="14" customFormat="1">
      <c r="A136" s="14" t="s">
        <v>55</v>
      </c>
      <c r="B136" s="14" t="s">
        <v>219</v>
      </c>
    </row>
    <row r="138" spans="1:14" s="13" customFormat="1" ht="29">
      <c r="A138" s="13" t="s">
        <v>51</v>
      </c>
      <c r="B138" s="13" t="s">
        <v>220</v>
      </c>
      <c r="C138" s="13" t="s">
        <v>158</v>
      </c>
      <c r="L138" s="13" t="s">
        <v>463</v>
      </c>
    </row>
    <row r="139" spans="1:14" ht="72.5">
      <c r="A139" s="9" t="s">
        <v>159</v>
      </c>
      <c r="B139" s="9" t="s">
        <v>160</v>
      </c>
      <c r="C139" s="9" t="s">
        <v>397</v>
      </c>
      <c r="I139" s="9" t="s">
        <v>105</v>
      </c>
    </row>
    <row r="140" spans="1:14" ht="43.5">
      <c r="A140" s="9" t="s">
        <v>56</v>
      </c>
      <c r="B140" s="9" t="s">
        <v>307</v>
      </c>
      <c r="C140" s="9" t="s">
        <v>308</v>
      </c>
      <c r="D140" s="9" t="s">
        <v>119</v>
      </c>
      <c r="I140" s="9" t="s">
        <v>105</v>
      </c>
      <c r="L140" s="9" t="s">
        <v>559</v>
      </c>
    </row>
    <row r="141" spans="1:14" ht="58">
      <c r="A141" s="9" t="s">
        <v>56</v>
      </c>
      <c r="B141" s="9" t="s">
        <v>165</v>
      </c>
      <c r="C141" s="9" t="s">
        <v>398</v>
      </c>
      <c r="I141" s="9" t="s">
        <v>105</v>
      </c>
    </row>
    <row r="142" spans="1:14" s="14" customFormat="1">
      <c r="A142" s="14" t="s">
        <v>55</v>
      </c>
      <c r="B142" s="14" t="s">
        <v>220</v>
      </c>
    </row>
    <row r="144" spans="1:14" s="13" customFormat="1">
      <c r="A144" s="13" t="s">
        <v>51</v>
      </c>
      <c r="B144" s="13" t="s">
        <v>221</v>
      </c>
      <c r="C144" s="13" t="s">
        <v>471</v>
      </c>
      <c r="L144" s="13" t="s">
        <v>301</v>
      </c>
    </row>
    <row r="145" spans="1:14" ht="72.5">
      <c r="A145" s="9" t="s">
        <v>25</v>
      </c>
      <c r="B145" s="9" t="s">
        <v>391</v>
      </c>
      <c r="C145" s="9" t="s">
        <v>166</v>
      </c>
      <c r="G145" s="9" t="s">
        <v>309</v>
      </c>
      <c r="H145" s="9" t="s">
        <v>310</v>
      </c>
      <c r="I145" s="9" t="s">
        <v>105</v>
      </c>
    </row>
    <row r="146" spans="1:14" ht="112.5" customHeight="1">
      <c r="A146" s="9" t="s">
        <v>25</v>
      </c>
      <c r="B146" s="9" t="s">
        <v>174</v>
      </c>
      <c r="C146" s="9" t="s">
        <v>167</v>
      </c>
      <c r="G146" s="9" t="s">
        <v>392</v>
      </c>
      <c r="H146" s="9" t="s">
        <v>311</v>
      </c>
      <c r="I146" s="9" t="s">
        <v>105</v>
      </c>
    </row>
    <row r="147" spans="1:14" s="14" customFormat="1">
      <c r="A147" s="14" t="s">
        <v>55</v>
      </c>
      <c r="B147" s="14" t="s">
        <v>221</v>
      </c>
    </row>
    <row r="148" spans="1:14" s="10" customFormat="1">
      <c r="A148" s="10" t="s">
        <v>23</v>
      </c>
      <c r="B148" s="10" t="s">
        <v>393</v>
      </c>
      <c r="N148" s="10" t="s">
        <v>394</v>
      </c>
    </row>
    <row r="150" spans="1:14" s="13" customFormat="1">
      <c r="A150" s="13" t="s">
        <v>51</v>
      </c>
      <c r="B150" s="13" t="s">
        <v>222</v>
      </c>
      <c r="C150" s="13" t="s">
        <v>173</v>
      </c>
    </row>
    <row r="151" spans="1:14" ht="145">
      <c r="A151" s="9" t="s">
        <v>25</v>
      </c>
      <c r="B151" s="9" t="s">
        <v>168</v>
      </c>
      <c r="C151" s="9" t="s">
        <v>434</v>
      </c>
      <c r="D151" s="9" t="s">
        <v>435</v>
      </c>
      <c r="I151" s="9" t="s">
        <v>105</v>
      </c>
    </row>
    <row r="152" spans="1:14" ht="81.75" customHeight="1">
      <c r="A152" s="9" t="s">
        <v>72</v>
      </c>
      <c r="B152" s="9" t="s">
        <v>312</v>
      </c>
      <c r="C152" s="9" t="s">
        <v>437</v>
      </c>
      <c r="G152" s="9" t="s">
        <v>363</v>
      </c>
      <c r="H152" s="9" t="s">
        <v>367</v>
      </c>
      <c r="I152" s="9" t="s">
        <v>105</v>
      </c>
      <c r="L152" s="9" t="s">
        <v>313</v>
      </c>
    </row>
    <row r="153" spans="1:14" ht="72.5">
      <c r="A153" s="9" t="s">
        <v>25</v>
      </c>
      <c r="B153" s="9" t="s">
        <v>169</v>
      </c>
      <c r="C153" s="9" t="s">
        <v>436</v>
      </c>
      <c r="D153" s="9" t="s">
        <v>438</v>
      </c>
      <c r="G153" s="9" t="s">
        <v>314</v>
      </c>
      <c r="H153" s="9" t="s">
        <v>315</v>
      </c>
      <c r="I153" s="9" t="s">
        <v>105</v>
      </c>
      <c r="L153" s="9" t="s">
        <v>253</v>
      </c>
    </row>
    <row r="154" spans="1:14" s="14" customFormat="1">
      <c r="A154" s="14" t="s">
        <v>55</v>
      </c>
      <c r="B154" s="14" t="s">
        <v>222</v>
      </c>
    </row>
    <row r="156" spans="1:14" s="10" customFormat="1">
      <c r="A156" s="10" t="s">
        <v>23</v>
      </c>
      <c r="B156" s="10" t="s">
        <v>316</v>
      </c>
      <c r="N156" s="10" t="s">
        <v>395</v>
      </c>
    </row>
    <row r="157" spans="1:14" ht="72.5">
      <c r="A157" s="9" t="s">
        <v>72</v>
      </c>
      <c r="B157" s="9" t="s">
        <v>170</v>
      </c>
      <c r="C157" s="9" t="s">
        <v>396</v>
      </c>
      <c r="G157" s="9" t="s">
        <v>363</v>
      </c>
      <c r="H157" s="9" t="s">
        <v>317</v>
      </c>
      <c r="I157" s="9" t="s">
        <v>105</v>
      </c>
    </row>
    <row r="158" spans="1:14" s="14" customFormat="1">
      <c r="A158" s="14" t="s">
        <v>55</v>
      </c>
      <c r="B158" s="14" t="s">
        <v>293</v>
      </c>
    </row>
    <row r="160" spans="1:14" s="13" customFormat="1">
      <c r="A160" s="13" t="s">
        <v>51</v>
      </c>
      <c r="B160" s="13" t="s">
        <v>318</v>
      </c>
      <c r="C160" s="13" t="s">
        <v>368</v>
      </c>
    </row>
    <row r="161" spans="1:14" s="18" customFormat="1" ht="29">
      <c r="A161" s="18" t="s">
        <v>439</v>
      </c>
      <c r="B161" s="18" t="s">
        <v>441</v>
      </c>
      <c r="C161" s="18" t="s">
        <v>461</v>
      </c>
      <c r="D161" s="18" t="s">
        <v>114</v>
      </c>
      <c r="I161" s="18" t="s">
        <v>105</v>
      </c>
    </row>
    <row r="162" spans="1:14" s="18" customFormat="1" ht="29">
      <c r="A162" s="18" t="s">
        <v>107</v>
      </c>
      <c r="B162" s="18" t="s">
        <v>442</v>
      </c>
      <c r="C162" s="18" t="s">
        <v>462</v>
      </c>
      <c r="D162" s="18" t="s">
        <v>114</v>
      </c>
      <c r="I162" s="18" t="s">
        <v>105</v>
      </c>
    </row>
    <row r="163" spans="1:14" ht="56.25" customHeight="1">
      <c r="A163" s="9" t="s">
        <v>321</v>
      </c>
      <c r="B163" s="9" t="s">
        <v>322</v>
      </c>
      <c r="C163" s="9" t="s">
        <v>176</v>
      </c>
      <c r="D163" s="9" t="s">
        <v>323</v>
      </c>
      <c r="I163" s="9" t="s">
        <v>105</v>
      </c>
      <c r="J163" s="9" t="s">
        <v>369</v>
      </c>
      <c r="L163" s="18" t="s">
        <v>446</v>
      </c>
    </row>
    <row r="164" spans="1:14">
      <c r="A164" s="9" t="s">
        <v>56</v>
      </c>
      <c r="B164" s="9" t="s">
        <v>324</v>
      </c>
      <c r="C164" s="9" t="s">
        <v>325</v>
      </c>
      <c r="I164" s="9" t="s">
        <v>105</v>
      </c>
      <c r="L164" s="9" t="s">
        <v>326</v>
      </c>
    </row>
    <row r="165" spans="1:14" ht="29">
      <c r="A165" s="9" t="s">
        <v>107</v>
      </c>
      <c r="B165" s="9" t="s">
        <v>329</v>
      </c>
      <c r="C165" s="9" t="s">
        <v>186</v>
      </c>
      <c r="I165" s="9" t="s">
        <v>105</v>
      </c>
      <c r="L165" s="18" t="s">
        <v>448</v>
      </c>
    </row>
    <row r="166" spans="1:14" ht="29">
      <c r="A166" s="9" t="s">
        <v>333</v>
      </c>
      <c r="B166" s="9" t="s">
        <v>331</v>
      </c>
      <c r="C166" s="9" t="s">
        <v>330</v>
      </c>
      <c r="D166" s="9" t="s">
        <v>323</v>
      </c>
      <c r="I166" s="9" t="s">
        <v>105</v>
      </c>
      <c r="J166" s="9" t="s">
        <v>369</v>
      </c>
      <c r="L166" s="9" t="s">
        <v>335</v>
      </c>
    </row>
    <row r="167" spans="1:14">
      <c r="A167" s="9" t="s">
        <v>56</v>
      </c>
      <c r="B167" s="9" t="s">
        <v>332</v>
      </c>
      <c r="C167" s="9" t="s">
        <v>337</v>
      </c>
      <c r="I167" s="9" t="s">
        <v>105</v>
      </c>
      <c r="L167" s="9" t="s">
        <v>336</v>
      </c>
    </row>
    <row r="168" spans="1:14" s="14" customFormat="1">
      <c r="A168" s="14" t="s">
        <v>55</v>
      </c>
      <c r="B168" s="14" t="s">
        <v>318</v>
      </c>
    </row>
    <row r="170" spans="1:14" s="14" customFormat="1">
      <c r="A170" s="14" t="s">
        <v>55</v>
      </c>
      <c r="B170" s="14" t="s">
        <v>213</v>
      </c>
    </row>
    <row r="172" spans="1:14" ht="29">
      <c r="A172" s="9" t="s">
        <v>23</v>
      </c>
      <c r="B172" s="9" t="s">
        <v>449</v>
      </c>
      <c r="N172" s="15" t="s">
        <v>450</v>
      </c>
    </row>
    <row r="173" spans="1:14" s="11" customFormat="1" ht="58">
      <c r="A173" s="11" t="s">
        <v>24</v>
      </c>
      <c r="B173" s="11" t="s">
        <v>344</v>
      </c>
      <c r="C173" s="11" t="s">
        <v>514</v>
      </c>
      <c r="L173" s="11" t="s">
        <v>451</v>
      </c>
    </row>
    <row r="174" spans="1:14" s="11" customFormat="1" ht="72.5">
      <c r="A174" s="11" t="s">
        <v>24</v>
      </c>
      <c r="B174" s="11" t="s">
        <v>345</v>
      </c>
      <c r="C174" s="11" t="s">
        <v>515</v>
      </c>
      <c r="L174" s="11" t="s">
        <v>458</v>
      </c>
    </row>
    <row r="175" spans="1:14" s="11" customFormat="1" ht="29">
      <c r="A175" s="11" t="s">
        <v>24</v>
      </c>
      <c r="B175" s="11" t="s">
        <v>78</v>
      </c>
      <c r="C175" s="11" t="s">
        <v>516</v>
      </c>
      <c r="L175" s="11" t="s">
        <v>452</v>
      </c>
    </row>
    <row r="176" spans="1:14">
      <c r="A176" s="9" t="s">
        <v>56</v>
      </c>
      <c r="B176" s="9" t="s">
        <v>189</v>
      </c>
      <c r="C176" s="9" t="s">
        <v>191</v>
      </c>
    </row>
  </sheetData>
  <autoFilter ref="A1:O176"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70DA3-0CEC-4E3A-B498-480DF076D7C0}">
  <dimension ref="A1:E149"/>
  <sheetViews>
    <sheetView workbookViewId="0">
      <pane ySplit="1" topLeftCell="A77" activePane="bottomLeft" state="frozen"/>
      <selection pane="bottomLeft" activeCell="C93" sqref="C93"/>
    </sheetView>
  </sheetViews>
  <sheetFormatPr defaultRowHeight="14.5"/>
  <cols>
    <col min="1" max="1" width="17.26953125" bestFit="1" customWidth="1"/>
    <col min="3" max="3" width="61.81640625" bestFit="1" customWidth="1"/>
    <col min="4" max="5" width="8.7265625" style="24"/>
  </cols>
  <sheetData>
    <row r="1" spans="1:5" s="5" customFormat="1">
      <c r="A1" s="4" t="s">
        <v>19</v>
      </c>
      <c r="B1" s="4" t="s">
        <v>8</v>
      </c>
      <c r="C1" s="4" t="s">
        <v>9</v>
      </c>
      <c r="D1" s="30" t="s">
        <v>223</v>
      </c>
      <c r="E1" s="30" t="s">
        <v>224</v>
      </c>
    </row>
    <row r="2" spans="1:5">
      <c r="A2" s="24" t="s">
        <v>440</v>
      </c>
      <c r="B2" s="24">
        <v>1</v>
      </c>
      <c r="C2" s="24" t="s">
        <v>178</v>
      </c>
    </row>
    <row r="3" spans="1:5">
      <c r="A3" s="24" t="s">
        <v>440</v>
      </c>
      <c r="B3" s="24">
        <v>2</v>
      </c>
      <c r="C3" s="24" t="s">
        <v>319</v>
      </c>
    </row>
    <row r="4" spans="1:5">
      <c r="A4" s="24" t="s">
        <v>440</v>
      </c>
      <c r="B4" s="24">
        <v>3</v>
      </c>
      <c r="C4" s="24" t="s">
        <v>320</v>
      </c>
    </row>
    <row r="5" spans="1:5" s="6" customFormat="1">
      <c r="A5" s="25" t="s">
        <v>440</v>
      </c>
      <c r="B5" s="25">
        <v>0</v>
      </c>
      <c r="C5" s="25" t="s">
        <v>177</v>
      </c>
      <c r="D5" s="25"/>
      <c r="E5" s="25"/>
    </row>
    <row r="6" spans="1:5">
      <c r="A6" t="s">
        <v>327</v>
      </c>
      <c r="B6">
        <v>1</v>
      </c>
      <c r="C6" t="s">
        <v>179</v>
      </c>
    </row>
    <row r="7" spans="1:5">
      <c r="A7" t="s">
        <v>327</v>
      </c>
      <c r="B7" s="26">
        <v>2</v>
      </c>
      <c r="C7" s="26" t="s">
        <v>447</v>
      </c>
    </row>
    <row r="8" spans="1:5">
      <c r="A8" t="s">
        <v>327</v>
      </c>
      <c r="B8">
        <v>3</v>
      </c>
      <c r="C8" t="s">
        <v>180</v>
      </c>
    </row>
    <row r="9" spans="1:5">
      <c r="A9" t="s">
        <v>327</v>
      </c>
      <c r="B9">
        <v>4</v>
      </c>
      <c r="C9" t="s">
        <v>181</v>
      </c>
    </row>
    <row r="10" spans="1:5">
      <c r="A10" t="s">
        <v>327</v>
      </c>
      <c r="B10">
        <v>5</v>
      </c>
      <c r="C10" t="s">
        <v>182</v>
      </c>
    </row>
    <row r="11" spans="1:5">
      <c r="A11" t="s">
        <v>327</v>
      </c>
      <c r="B11">
        <v>6</v>
      </c>
      <c r="C11" t="s">
        <v>183</v>
      </c>
    </row>
    <row r="12" spans="1:5">
      <c r="A12" t="s">
        <v>327</v>
      </c>
      <c r="B12">
        <v>7</v>
      </c>
      <c r="C12" t="s">
        <v>184</v>
      </c>
    </row>
    <row r="13" spans="1:5">
      <c r="A13" t="s">
        <v>327</v>
      </c>
      <c r="B13">
        <v>8</v>
      </c>
      <c r="C13" t="s">
        <v>185</v>
      </c>
    </row>
    <row r="14" spans="1:5">
      <c r="A14" t="s">
        <v>327</v>
      </c>
      <c r="B14">
        <v>9</v>
      </c>
      <c r="C14" t="s">
        <v>328</v>
      </c>
    </row>
    <row r="15" spans="1:5" s="6" customFormat="1">
      <c r="A15" s="6" t="s">
        <v>327</v>
      </c>
      <c r="B15" s="6">
        <v>96</v>
      </c>
      <c r="C15" s="6" t="s">
        <v>111</v>
      </c>
      <c r="D15" s="25"/>
      <c r="E15" s="25"/>
    </row>
    <row r="16" spans="1:5" s="24" customFormat="1">
      <c r="A16" s="24" t="s">
        <v>42</v>
      </c>
      <c r="B16" s="24">
        <v>101</v>
      </c>
      <c r="C16" s="24" t="s">
        <v>486</v>
      </c>
      <c r="E16" s="24">
        <v>1</v>
      </c>
    </row>
    <row r="17" spans="1:5" s="24" customFormat="1">
      <c r="A17" s="24" t="s">
        <v>42</v>
      </c>
      <c r="B17" s="24">
        <v>102</v>
      </c>
      <c r="C17" s="24" t="s">
        <v>487</v>
      </c>
      <c r="E17" s="24">
        <v>1</v>
      </c>
    </row>
    <row r="18" spans="1:5" s="24" customFormat="1">
      <c r="A18" s="24" t="s">
        <v>42</v>
      </c>
      <c r="B18" s="24">
        <v>103</v>
      </c>
      <c r="C18" s="24" t="s">
        <v>488</v>
      </c>
      <c r="E18" s="24">
        <v>1</v>
      </c>
    </row>
    <row r="19" spans="1:5" s="24" customFormat="1">
      <c r="A19" s="24" t="s">
        <v>42</v>
      </c>
      <c r="B19" s="24">
        <v>104</v>
      </c>
      <c r="C19" s="24" t="s">
        <v>495</v>
      </c>
      <c r="E19" s="24">
        <v>1</v>
      </c>
    </row>
    <row r="20" spans="1:5" s="24" customFormat="1">
      <c r="A20" s="24" t="s">
        <v>42</v>
      </c>
      <c r="B20" s="24">
        <v>105</v>
      </c>
      <c r="C20" s="24" t="s">
        <v>496</v>
      </c>
      <c r="E20" s="24">
        <v>1</v>
      </c>
    </row>
    <row r="21" spans="1:5" s="24" customFormat="1">
      <c r="A21" s="24" t="s">
        <v>42</v>
      </c>
      <c r="B21" s="24">
        <v>106</v>
      </c>
      <c r="C21" s="24" t="s">
        <v>497</v>
      </c>
      <c r="E21" s="24">
        <v>1</v>
      </c>
    </row>
    <row r="22" spans="1:5" s="24" customFormat="1">
      <c r="A22" s="24" t="s">
        <v>42</v>
      </c>
      <c r="B22" s="24">
        <v>201</v>
      </c>
      <c r="C22" s="24" t="s">
        <v>489</v>
      </c>
      <c r="E22" s="24">
        <v>2</v>
      </c>
    </row>
    <row r="23" spans="1:5" s="24" customFormat="1">
      <c r="A23" s="24" t="s">
        <v>42</v>
      </c>
      <c r="B23" s="24">
        <v>202</v>
      </c>
      <c r="C23" s="24" t="s">
        <v>490</v>
      </c>
      <c r="E23" s="24">
        <v>2</v>
      </c>
    </row>
    <row r="24" spans="1:5" s="24" customFormat="1">
      <c r="A24" s="24" t="s">
        <v>42</v>
      </c>
      <c r="B24" s="24">
        <v>203</v>
      </c>
      <c r="C24" s="24" t="s">
        <v>491</v>
      </c>
      <c r="E24" s="24">
        <v>2</v>
      </c>
    </row>
    <row r="25" spans="1:5" s="24" customFormat="1">
      <c r="A25" s="24" t="s">
        <v>42</v>
      </c>
      <c r="B25" s="24">
        <v>204</v>
      </c>
      <c r="C25" s="24" t="s">
        <v>498</v>
      </c>
      <c r="E25" s="24">
        <v>2</v>
      </c>
    </row>
    <row r="26" spans="1:5" s="24" customFormat="1">
      <c r="A26" s="24" t="s">
        <v>42</v>
      </c>
      <c r="B26" s="24">
        <v>205</v>
      </c>
      <c r="C26" s="24" t="s">
        <v>499</v>
      </c>
      <c r="E26" s="24">
        <v>2</v>
      </c>
    </row>
    <row r="27" spans="1:5" s="24" customFormat="1">
      <c r="A27" s="24" t="s">
        <v>42</v>
      </c>
      <c r="B27" s="24">
        <v>206</v>
      </c>
      <c r="C27" s="24" t="s">
        <v>500</v>
      </c>
      <c r="E27" s="24">
        <v>2</v>
      </c>
    </row>
    <row r="28" spans="1:5" s="24" customFormat="1">
      <c r="A28" s="24" t="s">
        <v>42</v>
      </c>
      <c r="B28" s="24">
        <v>301</v>
      </c>
      <c r="C28" s="24" t="s">
        <v>492</v>
      </c>
      <c r="E28" s="24">
        <v>3</v>
      </c>
    </row>
    <row r="29" spans="1:5" s="24" customFormat="1">
      <c r="A29" s="24" t="s">
        <v>42</v>
      </c>
      <c r="B29" s="24">
        <v>302</v>
      </c>
      <c r="C29" s="24" t="s">
        <v>493</v>
      </c>
      <c r="E29" s="24">
        <v>3</v>
      </c>
    </row>
    <row r="30" spans="1:5" s="24" customFormat="1">
      <c r="A30" s="24" t="s">
        <v>42</v>
      </c>
      <c r="B30" s="24">
        <v>303</v>
      </c>
      <c r="C30" s="24" t="s">
        <v>494</v>
      </c>
      <c r="E30" s="24">
        <v>3</v>
      </c>
    </row>
    <row r="31" spans="1:5" s="24" customFormat="1">
      <c r="A31" s="24" t="s">
        <v>42</v>
      </c>
      <c r="B31" s="24">
        <v>304</v>
      </c>
      <c r="C31" s="24" t="s">
        <v>502</v>
      </c>
      <c r="E31" s="24">
        <v>3</v>
      </c>
    </row>
    <row r="32" spans="1:5" s="24" customFormat="1">
      <c r="A32" s="24" t="s">
        <v>42</v>
      </c>
      <c r="B32" s="24">
        <v>305</v>
      </c>
      <c r="C32" s="24" t="s">
        <v>503</v>
      </c>
      <c r="E32" s="24">
        <v>3</v>
      </c>
    </row>
    <row r="33" spans="1:5" s="24" customFormat="1">
      <c r="A33" s="24" t="s">
        <v>42</v>
      </c>
      <c r="B33" s="24">
        <v>306</v>
      </c>
      <c r="C33" s="24" t="s">
        <v>501</v>
      </c>
      <c r="E33" s="24">
        <v>3</v>
      </c>
    </row>
    <row r="34" spans="1:5" s="24" customFormat="1">
      <c r="A34" s="24" t="s">
        <v>42</v>
      </c>
      <c r="B34" s="24">
        <v>401</v>
      </c>
      <c r="C34" s="24" t="s">
        <v>517</v>
      </c>
      <c r="E34" s="24">
        <v>4</v>
      </c>
    </row>
    <row r="35" spans="1:5" s="24" customFormat="1">
      <c r="A35" s="24" t="s">
        <v>42</v>
      </c>
      <c r="B35" s="24">
        <v>402</v>
      </c>
      <c r="C35" s="24" t="s">
        <v>523</v>
      </c>
      <c r="E35" s="24">
        <v>4</v>
      </c>
    </row>
    <row r="36" spans="1:5" s="24" customFormat="1">
      <c r="A36" s="24" t="s">
        <v>42</v>
      </c>
      <c r="B36" s="24">
        <v>403</v>
      </c>
      <c r="C36" s="24" t="s">
        <v>524</v>
      </c>
      <c r="E36" s="24">
        <v>4</v>
      </c>
    </row>
    <row r="37" spans="1:5" s="24" customFormat="1">
      <c r="A37" s="24" t="s">
        <v>42</v>
      </c>
      <c r="B37" s="24">
        <v>404</v>
      </c>
      <c r="C37" s="24" t="s">
        <v>525</v>
      </c>
      <c r="E37" s="24">
        <v>4</v>
      </c>
    </row>
    <row r="38" spans="1:5" s="24" customFormat="1">
      <c r="A38" s="24" t="s">
        <v>42</v>
      </c>
      <c r="B38" s="24">
        <v>405</v>
      </c>
      <c r="C38" s="24" t="s">
        <v>526</v>
      </c>
      <c r="E38" s="24">
        <v>4</v>
      </c>
    </row>
    <row r="39" spans="1:5" s="24" customFormat="1">
      <c r="A39" s="24" t="s">
        <v>42</v>
      </c>
      <c r="B39" s="24">
        <v>406</v>
      </c>
      <c r="C39" s="24" t="s">
        <v>527</v>
      </c>
      <c r="E39" s="24">
        <v>4</v>
      </c>
    </row>
    <row r="40" spans="1:5" s="24" customFormat="1">
      <c r="A40" s="24" t="s">
        <v>42</v>
      </c>
      <c r="B40" s="24">
        <v>501</v>
      </c>
      <c r="C40" s="24" t="s">
        <v>518</v>
      </c>
      <c r="E40" s="24">
        <v>5</v>
      </c>
    </row>
    <row r="41" spans="1:5" s="24" customFormat="1">
      <c r="A41" s="24" t="s">
        <v>42</v>
      </c>
      <c r="B41" s="24">
        <v>502</v>
      </c>
      <c r="C41" s="24" t="s">
        <v>528</v>
      </c>
      <c r="E41" s="24">
        <v>5</v>
      </c>
    </row>
    <row r="42" spans="1:5" s="24" customFormat="1">
      <c r="A42" s="24" t="s">
        <v>42</v>
      </c>
      <c r="B42" s="24">
        <v>503</v>
      </c>
      <c r="C42" s="24" t="s">
        <v>529</v>
      </c>
      <c r="E42" s="24">
        <v>5</v>
      </c>
    </row>
    <row r="43" spans="1:5" s="24" customFormat="1">
      <c r="A43" s="24" t="s">
        <v>42</v>
      </c>
      <c r="B43" s="24">
        <v>504</v>
      </c>
      <c r="C43" s="24" t="s">
        <v>530</v>
      </c>
      <c r="E43" s="24">
        <v>5</v>
      </c>
    </row>
    <row r="44" spans="1:5" s="24" customFormat="1">
      <c r="A44" s="24" t="s">
        <v>42</v>
      </c>
      <c r="B44" s="24">
        <v>505</v>
      </c>
      <c r="C44" s="24" t="s">
        <v>531</v>
      </c>
      <c r="E44" s="24">
        <v>5</v>
      </c>
    </row>
    <row r="45" spans="1:5" s="24" customFormat="1">
      <c r="A45" s="24" t="s">
        <v>42</v>
      </c>
      <c r="B45" s="24">
        <v>506</v>
      </c>
      <c r="C45" s="24" t="s">
        <v>532</v>
      </c>
      <c r="E45" s="24">
        <v>5</v>
      </c>
    </row>
    <row r="46" spans="1:5" s="24" customFormat="1">
      <c r="A46" s="24" t="s">
        <v>42</v>
      </c>
      <c r="B46" s="24">
        <v>601</v>
      </c>
      <c r="C46" s="24" t="s">
        <v>519</v>
      </c>
      <c r="E46" s="24">
        <v>6</v>
      </c>
    </row>
    <row r="47" spans="1:5" s="24" customFormat="1">
      <c r="A47" s="24" t="s">
        <v>42</v>
      </c>
      <c r="B47" s="24">
        <v>602</v>
      </c>
      <c r="C47" s="24" t="s">
        <v>534</v>
      </c>
      <c r="E47" s="24">
        <v>6</v>
      </c>
    </row>
    <row r="48" spans="1:5" s="24" customFormat="1">
      <c r="A48" s="24" t="s">
        <v>42</v>
      </c>
      <c r="B48" s="24">
        <v>603</v>
      </c>
      <c r="C48" s="24" t="s">
        <v>535</v>
      </c>
      <c r="E48" s="24">
        <v>6</v>
      </c>
    </row>
    <row r="49" spans="1:5" s="24" customFormat="1">
      <c r="A49" s="24" t="s">
        <v>42</v>
      </c>
      <c r="B49" s="24">
        <v>604</v>
      </c>
      <c r="C49" s="24" t="s">
        <v>536</v>
      </c>
      <c r="E49" s="24">
        <v>6</v>
      </c>
    </row>
    <row r="50" spans="1:5" s="24" customFormat="1">
      <c r="A50" s="24" t="s">
        <v>42</v>
      </c>
      <c r="B50" s="24">
        <v>605</v>
      </c>
      <c r="C50" s="24" t="s">
        <v>537</v>
      </c>
      <c r="E50" s="24">
        <v>6</v>
      </c>
    </row>
    <row r="51" spans="1:5" s="24" customFormat="1">
      <c r="A51" s="24" t="s">
        <v>42</v>
      </c>
      <c r="B51" s="24">
        <v>606</v>
      </c>
      <c r="C51" s="24" t="s">
        <v>538</v>
      </c>
      <c r="E51" s="24">
        <v>6</v>
      </c>
    </row>
    <row r="52" spans="1:5" s="24" customFormat="1">
      <c r="A52" s="24" t="s">
        <v>42</v>
      </c>
      <c r="B52" s="24">
        <v>701</v>
      </c>
      <c r="C52" s="24" t="s">
        <v>520</v>
      </c>
      <c r="E52" s="24">
        <v>7</v>
      </c>
    </row>
    <row r="53" spans="1:5" s="24" customFormat="1">
      <c r="A53" s="24" t="s">
        <v>42</v>
      </c>
      <c r="B53" s="24">
        <v>702</v>
      </c>
      <c r="C53" s="24" t="s">
        <v>539</v>
      </c>
      <c r="E53" s="24">
        <v>7</v>
      </c>
    </row>
    <row r="54" spans="1:5" s="24" customFormat="1">
      <c r="A54" s="24" t="s">
        <v>42</v>
      </c>
      <c r="B54" s="24">
        <v>703</v>
      </c>
      <c r="C54" s="24" t="s">
        <v>540</v>
      </c>
      <c r="E54" s="24">
        <v>7</v>
      </c>
    </row>
    <row r="55" spans="1:5" s="24" customFormat="1">
      <c r="A55" s="24" t="s">
        <v>42</v>
      </c>
      <c r="B55" s="24">
        <v>704</v>
      </c>
      <c r="C55" s="24" t="s">
        <v>541</v>
      </c>
      <c r="E55" s="24">
        <v>7</v>
      </c>
    </row>
    <row r="56" spans="1:5" s="24" customFormat="1">
      <c r="A56" s="24" t="s">
        <v>42</v>
      </c>
      <c r="B56" s="24">
        <v>705</v>
      </c>
      <c r="C56" s="24" t="s">
        <v>542</v>
      </c>
      <c r="E56" s="24">
        <v>7</v>
      </c>
    </row>
    <row r="57" spans="1:5" s="24" customFormat="1">
      <c r="A57" s="24" t="s">
        <v>42</v>
      </c>
      <c r="B57" s="24">
        <v>706</v>
      </c>
      <c r="C57" s="24" t="s">
        <v>543</v>
      </c>
      <c r="E57" s="24">
        <v>7</v>
      </c>
    </row>
    <row r="58" spans="1:5" s="24" customFormat="1">
      <c r="A58" s="24" t="s">
        <v>42</v>
      </c>
      <c r="B58" s="24">
        <v>801</v>
      </c>
      <c r="C58" s="24" t="s">
        <v>521</v>
      </c>
      <c r="E58" s="24">
        <v>8</v>
      </c>
    </row>
    <row r="59" spans="1:5" s="24" customFormat="1">
      <c r="A59" s="24" t="s">
        <v>42</v>
      </c>
      <c r="B59" s="24">
        <v>802</v>
      </c>
      <c r="C59" s="24" t="s">
        <v>544</v>
      </c>
      <c r="E59" s="24">
        <v>8</v>
      </c>
    </row>
    <row r="60" spans="1:5" s="24" customFormat="1">
      <c r="A60" s="24" t="s">
        <v>42</v>
      </c>
      <c r="B60" s="24">
        <v>803</v>
      </c>
      <c r="C60" s="24" t="s">
        <v>545</v>
      </c>
      <c r="E60" s="24">
        <v>8</v>
      </c>
    </row>
    <row r="61" spans="1:5" s="24" customFormat="1">
      <c r="A61" s="24" t="s">
        <v>42</v>
      </c>
      <c r="B61" s="24">
        <v>804</v>
      </c>
      <c r="C61" s="24" t="s">
        <v>546</v>
      </c>
      <c r="E61" s="24">
        <v>8</v>
      </c>
    </row>
    <row r="62" spans="1:5" s="24" customFormat="1">
      <c r="A62" s="24" t="s">
        <v>42</v>
      </c>
      <c r="B62" s="24">
        <v>805</v>
      </c>
      <c r="C62" s="24" t="s">
        <v>547</v>
      </c>
      <c r="E62" s="24">
        <v>8</v>
      </c>
    </row>
    <row r="63" spans="1:5" s="24" customFormat="1">
      <c r="A63" s="24" t="s">
        <v>42</v>
      </c>
      <c r="B63" s="24">
        <v>806</v>
      </c>
      <c r="C63" s="24" t="s">
        <v>548</v>
      </c>
      <c r="E63" s="24">
        <v>8</v>
      </c>
    </row>
    <row r="64" spans="1:5" s="24" customFormat="1">
      <c r="A64" s="24" t="s">
        <v>42</v>
      </c>
      <c r="B64" s="24">
        <v>901</v>
      </c>
      <c r="C64" s="24" t="s">
        <v>522</v>
      </c>
      <c r="E64" s="24">
        <v>9</v>
      </c>
    </row>
    <row r="65" spans="1:5" s="24" customFormat="1">
      <c r="A65" s="24" t="s">
        <v>42</v>
      </c>
      <c r="B65" s="24">
        <v>902</v>
      </c>
      <c r="C65" s="24" t="s">
        <v>549</v>
      </c>
      <c r="E65" s="24">
        <v>9</v>
      </c>
    </row>
    <row r="66" spans="1:5" s="24" customFormat="1">
      <c r="A66" s="24" t="s">
        <v>42</v>
      </c>
      <c r="B66" s="24">
        <v>903</v>
      </c>
      <c r="C66" s="24" t="s">
        <v>550</v>
      </c>
      <c r="E66" s="24">
        <v>9</v>
      </c>
    </row>
    <row r="67" spans="1:5" s="24" customFormat="1">
      <c r="A67" s="24" t="s">
        <v>42</v>
      </c>
      <c r="B67" s="24">
        <v>904</v>
      </c>
      <c r="C67" s="24" t="s">
        <v>551</v>
      </c>
      <c r="E67" s="24">
        <v>9</v>
      </c>
    </row>
    <row r="68" spans="1:5" s="24" customFormat="1">
      <c r="A68" s="24" t="s">
        <v>42</v>
      </c>
      <c r="B68" s="24">
        <v>905</v>
      </c>
      <c r="C68" s="24" t="s">
        <v>552</v>
      </c>
      <c r="E68" s="24">
        <v>9</v>
      </c>
    </row>
    <row r="69" spans="1:5" s="25" customFormat="1">
      <c r="A69" s="25" t="s">
        <v>42</v>
      </c>
      <c r="B69" s="25">
        <v>906</v>
      </c>
      <c r="C69" s="25" t="s">
        <v>533</v>
      </c>
      <c r="E69" s="25">
        <v>9</v>
      </c>
    </row>
    <row r="70" spans="1:5" s="24" customFormat="1">
      <c r="A70" s="24" t="s">
        <v>32</v>
      </c>
      <c r="B70" s="24">
        <v>1</v>
      </c>
      <c r="C70" s="24" t="s">
        <v>33</v>
      </c>
      <c r="D70" s="24">
        <v>1</v>
      </c>
    </row>
    <row r="71" spans="1:5" s="24" customFormat="1">
      <c r="A71" s="24" t="s">
        <v>32</v>
      </c>
      <c r="B71" s="24">
        <v>2</v>
      </c>
      <c r="C71" s="24" t="s">
        <v>34</v>
      </c>
      <c r="D71" s="24">
        <v>1</v>
      </c>
    </row>
    <row r="72" spans="1:5" s="24" customFormat="1">
      <c r="A72" s="24" t="s">
        <v>32</v>
      </c>
      <c r="B72" s="24">
        <v>3</v>
      </c>
      <c r="C72" s="24" t="s">
        <v>35</v>
      </c>
      <c r="D72" s="24">
        <v>2</v>
      </c>
    </row>
    <row r="73" spans="1:5" s="24" customFormat="1">
      <c r="A73" s="24" t="s">
        <v>32</v>
      </c>
      <c r="B73" s="24">
        <v>4</v>
      </c>
      <c r="C73" s="24" t="s">
        <v>475</v>
      </c>
      <c r="D73" s="24">
        <v>2</v>
      </c>
    </row>
    <row r="74" spans="1:5" s="24" customFormat="1">
      <c r="A74" s="24" t="s">
        <v>32</v>
      </c>
      <c r="B74" s="24">
        <v>5</v>
      </c>
      <c r="C74" s="24" t="s">
        <v>476</v>
      </c>
      <c r="D74" s="24">
        <v>3</v>
      </c>
    </row>
    <row r="75" spans="1:5" s="25" customFormat="1">
      <c r="A75" s="25" t="s">
        <v>32</v>
      </c>
      <c r="B75" s="25">
        <v>6</v>
      </c>
      <c r="C75" s="25" t="s">
        <v>477</v>
      </c>
      <c r="D75" s="25">
        <v>3</v>
      </c>
    </row>
    <row r="76" spans="1:5">
      <c r="A76" t="s">
        <v>49</v>
      </c>
      <c r="B76">
        <v>1</v>
      </c>
      <c r="C76" t="s">
        <v>103</v>
      </c>
    </row>
    <row r="77" spans="1:5">
      <c r="A77" t="s">
        <v>49</v>
      </c>
      <c r="B77">
        <v>2</v>
      </c>
      <c r="C77" t="s">
        <v>104</v>
      </c>
    </row>
    <row r="78" spans="1:5" s="6" customFormat="1">
      <c r="A78" s="6" t="s">
        <v>49</v>
      </c>
      <c r="B78" s="6">
        <v>3</v>
      </c>
      <c r="C78" s="6" t="s">
        <v>50</v>
      </c>
      <c r="D78" s="25"/>
      <c r="E78" s="25"/>
    </row>
    <row r="79" spans="1:5">
      <c r="A79" t="s">
        <v>83</v>
      </c>
      <c r="B79">
        <v>1</v>
      </c>
      <c r="C79" t="s">
        <v>84</v>
      </c>
    </row>
    <row r="80" spans="1:5" s="6" customFormat="1">
      <c r="A80" s="6" t="s">
        <v>83</v>
      </c>
      <c r="B80" s="6">
        <v>2</v>
      </c>
      <c r="C80" s="6" t="s">
        <v>85</v>
      </c>
      <c r="D80" s="25"/>
      <c r="E80" s="25"/>
    </row>
    <row r="81" spans="1:5">
      <c r="A81" t="s">
        <v>161</v>
      </c>
      <c r="B81">
        <v>1</v>
      </c>
      <c r="C81" t="s">
        <v>366</v>
      </c>
    </row>
    <row r="82" spans="1:5">
      <c r="A82" t="s">
        <v>161</v>
      </c>
      <c r="B82">
        <v>2</v>
      </c>
      <c r="C82" t="s">
        <v>162</v>
      </c>
    </row>
    <row r="83" spans="1:5">
      <c r="A83" t="s">
        <v>161</v>
      </c>
      <c r="B83">
        <v>3</v>
      </c>
      <c r="C83" t="s">
        <v>163</v>
      </c>
    </row>
    <row r="84" spans="1:5">
      <c r="A84" t="s">
        <v>161</v>
      </c>
      <c r="B84">
        <v>4</v>
      </c>
      <c r="C84" t="s">
        <v>164</v>
      </c>
    </row>
    <row r="85" spans="1:5" s="6" customFormat="1">
      <c r="A85" s="6" t="s">
        <v>161</v>
      </c>
      <c r="B85" s="6">
        <v>96</v>
      </c>
      <c r="C85" s="6" t="s">
        <v>111</v>
      </c>
      <c r="D85" s="25"/>
      <c r="E85" s="25"/>
    </row>
    <row r="86" spans="1:5" s="24" customFormat="1">
      <c r="A86" s="24" t="s">
        <v>432</v>
      </c>
      <c r="B86" s="24">
        <v>1</v>
      </c>
      <c r="C86" s="24" t="s">
        <v>421</v>
      </c>
    </row>
    <row r="87" spans="1:5" s="24" customFormat="1">
      <c r="A87" s="24" t="s">
        <v>432</v>
      </c>
      <c r="B87" s="24">
        <v>2</v>
      </c>
      <c r="C87" s="24" t="s">
        <v>420</v>
      </c>
    </row>
    <row r="88" spans="1:5" s="24" customFormat="1">
      <c r="A88" s="24" t="s">
        <v>432</v>
      </c>
      <c r="B88" s="24">
        <v>3</v>
      </c>
      <c r="C88" s="24" t="s">
        <v>296</v>
      </c>
    </row>
    <row r="89" spans="1:5" s="24" customFormat="1">
      <c r="A89" s="24" t="s">
        <v>432</v>
      </c>
      <c r="B89" s="24">
        <v>4</v>
      </c>
      <c r="C89" s="24" t="s">
        <v>297</v>
      </c>
    </row>
    <row r="90" spans="1:5" s="24" customFormat="1">
      <c r="A90" s="24" t="s">
        <v>432</v>
      </c>
      <c r="B90" s="24">
        <v>5</v>
      </c>
      <c r="C90" s="24" t="s">
        <v>298</v>
      </c>
    </row>
    <row r="91" spans="1:5" s="24" customFormat="1">
      <c r="A91" s="24" t="s">
        <v>432</v>
      </c>
      <c r="B91" s="24">
        <v>6</v>
      </c>
      <c r="C91" s="24" t="s">
        <v>299</v>
      </c>
    </row>
    <row r="92" spans="1:5" s="24" customFormat="1">
      <c r="A92" s="24" t="s">
        <v>432</v>
      </c>
      <c r="B92" s="24">
        <v>8</v>
      </c>
      <c r="C92" s="24" t="s">
        <v>155</v>
      </c>
    </row>
    <row r="93" spans="1:5" s="25" customFormat="1">
      <c r="A93" s="25" t="s">
        <v>432</v>
      </c>
      <c r="B93" s="25">
        <v>96</v>
      </c>
      <c r="C93" s="25" t="s">
        <v>111</v>
      </c>
    </row>
    <row r="94" spans="1:5" s="24" customFormat="1">
      <c r="A94" s="24" t="s">
        <v>433</v>
      </c>
      <c r="B94" s="24">
        <v>1</v>
      </c>
      <c r="C94" s="24" t="s">
        <v>425</v>
      </c>
    </row>
    <row r="95" spans="1:5" s="24" customFormat="1">
      <c r="A95" s="24" t="s">
        <v>433</v>
      </c>
      <c r="B95" s="24">
        <v>2</v>
      </c>
      <c r="C95" s="24" t="s">
        <v>424</v>
      </c>
    </row>
    <row r="96" spans="1:5" s="24" customFormat="1">
      <c r="A96" s="24" t="s">
        <v>433</v>
      </c>
      <c r="B96" s="24">
        <v>3</v>
      </c>
      <c r="C96" s="24" t="s">
        <v>423</v>
      </c>
    </row>
    <row r="97" spans="1:5" s="24" customFormat="1">
      <c r="A97" s="24" t="s">
        <v>433</v>
      </c>
      <c r="B97" s="24">
        <v>8</v>
      </c>
      <c r="C97" s="24" t="s">
        <v>422</v>
      </c>
    </row>
    <row r="98" spans="1:5" s="25" customFormat="1">
      <c r="A98" s="25" t="s">
        <v>433</v>
      </c>
      <c r="B98" s="25">
        <v>96</v>
      </c>
      <c r="C98" s="25" t="s">
        <v>111</v>
      </c>
    </row>
    <row r="99" spans="1:5">
      <c r="A99" t="s">
        <v>197</v>
      </c>
      <c r="B99">
        <v>1</v>
      </c>
      <c r="C99" t="s">
        <v>198</v>
      </c>
    </row>
    <row r="100" spans="1:5">
      <c r="A100" t="s">
        <v>197</v>
      </c>
      <c r="B100">
        <v>2</v>
      </c>
      <c r="C100" t="s">
        <v>199</v>
      </c>
    </row>
    <row r="101" spans="1:5">
      <c r="A101" t="s">
        <v>197</v>
      </c>
      <c r="B101">
        <v>3</v>
      </c>
      <c r="C101" t="s">
        <v>200</v>
      </c>
    </row>
    <row r="102" spans="1:5">
      <c r="A102" t="s">
        <v>197</v>
      </c>
      <c r="B102">
        <v>4</v>
      </c>
      <c r="C102" t="s">
        <v>201</v>
      </c>
    </row>
    <row r="103" spans="1:5">
      <c r="A103" t="s">
        <v>197</v>
      </c>
      <c r="B103">
        <v>5</v>
      </c>
      <c r="C103" t="s">
        <v>202</v>
      </c>
    </row>
    <row r="104" spans="1:5">
      <c r="A104" t="s">
        <v>197</v>
      </c>
      <c r="B104">
        <v>6</v>
      </c>
      <c r="C104" t="s">
        <v>203</v>
      </c>
    </row>
    <row r="105" spans="1:5">
      <c r="A105" t="s">
        <v>197</v>
      </c>
      <c r="B105">
        <v>7</v>
      </c>
      <c r="C105" t="s">
        <v>204</v>
      </c>
    </row>
    <row r="106" spans="1:5">
      <c r="A106" t="s">
        <v>197</v>
      </c>
      <c r="B106">
        <v>98</v>
      </c>
      <c r="C106" t="s">
        <v>205</v>
      </c>
    </row>
    <row r="107" spans="1:5" s="6" customFormat="1">
      <c r="A107" s="6" t="s">
        <v>197</v>
      </c>
      <c r="B107" s="6">
        <v>96</v>
      </c>
      <c r="C107" s="6" t="s">
        <v>111</v>
      </c>
      <c r="D107" s="25"/>
      <c r="E107" s="25"/>
    </row>
    <row r="108" spans="1:5">
      <c r="A108" t="s">
        <v>110</v>
      </c>
      <c r="B108">
        <v>1</v>
      </c>
      <c r="C108" t="s">
        <v>374</v>
      </c>
    </row>
    <row r="109" spans="1:5">
      <c r="A109" t="s">
        <v>110</v>
      </c>
      <c r="B109">
        <v>2</v>
      </c>
      <c r="C109" t="s">
        <v>116</v>
      </c>
    </row>
    <row r="110" spans="1:5">
      <c r="A110" t="s">
        <v>110</v>
      </c>
      <c r="B110">
        <v>3</v>
      </c>
      <c r="C110" t="s">
        <v>117</v>
      </c>
    </row>
    <row r="111" spans="1:5">
      <c r="A111" t="s">
        <v>110</v>
      </c>
      <c r="B111">
        <v>8</v>
      </c>
      <c r="C111" t="s">
        <v>118</v>
      </c>
    </row>
    <row r="112" spans="1:5">
      <c r="A112" t="s">
        <v>110</v>
      </c>
      <c r="B112">
        <v>96</v>
      </c>
      <c r="C112" t="s">
        <v>111</v>
      </c>
    </row>
    <row r="113" spans="1:5" s="29" customFormat="1">
      <c r="A113" s="29" t="s">
        <v>28</v>
      </c>
      <c r="B113" s="29">
        <v>1</v>
      </c>
      <c r="C113" s="29" t="s">
        <v>29</v>
      </c>
    </row>
    <row r="114" spans="1:5" s="24" customFormat="1">
      <c r="A114" s="24" t="s">
        <v>28</v>
      </c>
      <c r="B114" s="24">
        <v>2</v>
      </c>
      <c r="C114" s="24" t="s">
        <v>30</v>
      </c>
    </row>
    <row r="115" spans="1:5" s="25" customFormat="1">
      <c r="A115" s="25" t="s">
        <v>28</v>
      </c>
      <c r="B115" s="25">
        <v>3</v>
      </c>
      <c r="C115" s="25" t="s">
        <v>31</v>
      </c>
    </row>
    <row r="116" spans="1:5">
      <c r="A116" t="s">
        <v>334</v>
      </c>
      <c r="B116">
        <v>1</v>
      </c>
      <c r="C116" t="s">
        <v>383</v>
      </c>
    </row>
    <row r="117" spans="1:5">
      <c r="A117" t="s">
        <v>334</v>
      </c>
      <c r="B117">
        <v>2</v>
      </c>
      <c r="C117" t="s">
        <v>384</v>
      </c>
    </row>
    <row r="118" spans="1:5">
      <c r="A118" t="s">
        <v>334</v>
      </c>
      <c r="B118">
        <v>3</v>
      </c>
      <c r="C118" t="s">
        <v>385</v>
      </c>
    </row>
    <row r="119" spans="1:5">
      <c r="A119" t="s">
        <v>334</v>
      </c>
      <c r="B119">
        <v>4</v>
      </c>
      <c r="C119" t="s">
        <v>187</v>
      </c>
    </row>
    <row r="120" spans="1:5">
      <c r="A120" t="s">
        <v>334</v>
      </c>
      <c r="B120">
        <v>5</v>
      </c>
      <c r="C120" t="s">
        <v>188</v>
      </c>
    </row>
    <row r="121" spans="1:5">
      <c r="A121" t="s">
        <v>334</v>
      </c>
      <c r="B121">
        <v>6</v>
      </c>
      <c r="C121" t="s">
        <v>386</v>
      </c>
    </row>
    <row r="122" spans="1:5" s="6" customFormat="1">
      <c r="A122" s="6" t="s">
        <v>334</v>
      </c>
      <c r="B122" s="6">
        <v>96</v>
      </c>
      <c r="C122" t="s">
        <v>111</v>
      </c>
      <c r="D122" s="25"/>
      <c r="E122" s="25"/>
    </row>
    <row r="123" spans="1:5" s="24" customFormat="1">
      <c r="A123" s="24" t="s">
        <v>36</v>
      </c>
      <c r="B123" s="24">
        <v>1</v>
      </c>
      <c r="C123" s="24" t="s">
        <v>38</v>
      </c>
      <c r="E123" s="24">
        <v>1</v>
      </c>
    </row>
    <row r="124" spans="1:5" s="24" customFormat="1">
      <c r="A124" s="24" t="s">
        <v>36</v>
      </c>
      <c r="B124" s="24">
        <v>2</v>
      </c>
      <c r="C124" s="24" t="s">
        <v>39</v>
      </c>
      <c r="E124" s="24">
        <v>1</v>
      </c>
    </row>
    <row r="125" spans="1:5" s="24" customFormat="1">
      <c r="A125" s="24" t="s">
        <v>36</v>
      </c>
      <c r="B125" s="24">
        <v>3</v>
      </c>
      <c r="C125" s="24" t="s">
        <v>40</v>
      </c>
      <c r="E125" s="24">
        <v>2</v>
      </c>
    </row>
    <row r="126" spans="1:5" s="24" customFormat="1">
      <c r="A126" s="24" t="s">
        <v>36</v>
      </c>
      <c r="B126" s="24">
        <v>4</v>
      </c>
      <c r="C126" s="24" t="s">
        <v>479</v>
      </c>
      <c r="E126" s="24">
        <v>2</v>
      </c>
    </row>
    <row r="127" spans="1:5" s="24" customFormat="1">
      <c r="A127" s="24" t="s">
        <v>36</v>
      </c>
      <c r="B127" s="24">
        <v>5</v>
      </c>
      <c r="C127" s="24" t="s">
        <v>480</v>
      </c>
      <c r="E127" s="24">
        <v>3</v>
      </c>
    </row>
    <row r="128" spans="1:5" s="24" customFormat="1">
      <c r="A128" s="24" t="s">
        <v>36</v>
      </c>
      <c r="B128" s="24">
        <v>6</v>
      </c>
      <c r="C128" s="24" t="s">
        <v>481</v>
      </c>
      <c r="E128" s="24">
        <v>3</v>
      </c>
    </row>
    <row r="129" spans="1:5" s="24" customFormat="1">
      <c r="A129" s="24" t="s">
        <v>36</v>
      </c>
      <c r="B129" s="24">
        <v>7</v>
      </c>
      <c r="C129" s="24" t="s">
        <v>482</v>
      </c>
      <c r="E129" s="24">
        <v>4</v>
      </c>
    </row>
    <row r="130" spans="1:5" s="24" customFormat="1">
      <c r="A130" s="24" t="s">
        <v>36</v>
      </c>
      <c r="B130" s="24">
        <v>8</v>
      </c>
      <c r="C130" s="24" t="s">
        <v>483</v>
      </c>
      <c r="E130" s="24">
        <v>4</v>
      </c>
    </row>
    <row r="131" spans="1:5" s="24" customFormat="1">
      <c r="A131" s="24" t="s">
        <v>36</v>
      </c>
      <c r="B131" s="24">
        <v>9</v>
      </c>
      <c r="C131" s="24" t="s">
        <v>478</v>
      </c>
      <c r="E131" s="24">
        <v>5</v>
      </c>
    </row>
    <row r="132" spans="1:5" s="24" customFormat="1">
      <c r="A132" s="24" t="s">
        <v>36</v>
      </c>
      <c r="B132" s="24">
        <v>10</v>
      </c>
      <c r="C132" s="24" t="s">
        <v>505</v>
      </c>
      <c r="E132" s="24">
        <v>5</v>
      </c>
    </row>
    <row r="133" spans="1:5" s="24" customFormat="1">
      <c r="A133" s="24" t="s">
        <v>36</v>
      </c>
      <c r="B133" s="24">
        <v>11</v>
      </c>
      <c r="C133" s="24" t="s">
        <v>509</v>
      </c>
      <c r="E133" s="24">
        <v>6</v>
      </c>
    </row>
    <row r="134" spans="1:5" s="24" customFormat="1">
      <c r="A134" s="24" t="s">
        <v>36</v>
      </c>
      <c r="B134" s="24">
        <v>12</v>
      </c>
      <c r="C134" s="24" t="s">
        <v>506</v>
      </c>
      <c r="E134" s="24">
        <v>6</v>
      </c>
    </row>
    <row r="135" spans="1:5" s="24" customFormat="1">
      <c r="A135" s="24" t="s">
        <v>36</v>
      </c>
      <c r="B135" s="24">
        <v>13</v>
      </c>
      <c r="C135" s="24" t="s">
        <v>510</v>
      </c>
      <c r="E135" s="24">
        <v>7</v>
      </c>
    </row>
    <row r="136" spans="1:5" s="24" customFormat="1">
      <c r="A136" s="24" t="s">
        <v>36</v>
      </c>
      <c r="B136" s="24">
        <v>14</v>
      </c>
      <c r="C136" s="24" t="s">
        <v>507</v>
      </c>
      <c r="E136" s="24">
        <v>7</v>
      </c>
    </row>
    <row r="137" spans="1:5" s="24" customFormat="1">
      <c r="A137" s="24" t="s">
        <v>36</v>
      </c>
      <c r="B137" s="24">
        <v>15</v>
      </c>
      <c r="C137" s="24" t="s">
        <v>511</v>
      </c>
      <c r="E137" s="24">
        <v>8</v>
      </c>
    </row>
    <row r="138" spans="1:5" s="24" customFormat="1">
      <c r="A138" s="24" t="s">
        <v>36</v>
      </c>
      <c r="B138" s="24">
        <v>16</v>
      </c>
      <c r="C138" s="24" t="s">
        <v>508</v>
      </c>
      <c r="E138" s="24">
        <v>8</v>
      </c>
    </row>
    <row r="139" spans="1:5" s="24" customFormat="1">
      <c r="A139" s="24" t="s">
        <v>36</v>
      </c>
      <c r="B139" s="24">
        <v>17</v>
      </c>
      <c r="C139" s="24" t="s">
        <v>512</v>
      </c>
      <c r="E139" s="24">
        <v>9</v>
      </c>
    </row>
    <row r="140" spans="1:5" s="25" customFormat="1">
      <c r="A140" s="25" t="s">
        <v>36</v>
      </c>
      <c r="B140" s="25">
        <v>18</v>
      </c>
      <c r="C140" s="25" t="s">
        <v>513</v>
      </c>
      <c r="E140" s="25">
        <v>9</v>
      </c>
    </row>
    <row r="141" spans="1:5">
      <c r="A141" t="s">
        <v>66</v>
      </c>
      <c r="B141">
        <v>1</v>
      </c>
      <c r="C141" t="s">
        <v>346</v>
      </c>
    </row>
    <row r="142" spans="1:5">
      <c r="A142" t="s">
        <v>66</v>
      </c>
      <c r="B142">
        <v>2</v>
      </c>
      <c r="C142" t="s">
        <v>347</v>
      </c>
    </row>
    <row r="143" spans="1:5">
      <c r="A143" t="s">
        <v>66</v>
      </c>
      <c r="B143">
        <v>3</v>
      </c>
      <c r="C143" t="s">
        <v>74</v>
      </c>
    </row>
    <row r="144" spans="1:5" s="6" customFormat="1">
      <c r="A144" s="6" t="s">
        <v>66</v>
      </c>
      <c r="B144" s="6">
        <v>98</v>
      </c>
      <c r="C144" s="6" t="s">
        <v>68</v>
      </c>
      <c r="D144" s="25"/>
      <c r="E144" s="25"/>
    </row>
    <row r="145" spans="1:5">
      <c r="A145" t="s">
        <v>73</v>
      </c>
      <c r="B145">
        <v>0</v>
      </c>
      <c r="C145" t="s">
        <v>74</v>
      </c>
    </row>
    <row r="146" spans="1:5" s="6" customFormat="1">
      <c r="A146" s="6" t="s">
        <v>73</v>
      </c>
      <c r="B146" s="6">
        <v>1</v>
      </c>
      <c r="C146" s="6" t="s">
        <v>67</v>
      </c>
      <c r="D146" s="25"/>
      <c r="E146" s="25"/>
    </row>
    <row r="147" spans="1:5">
      <c r="A147" t="s">
        <v>106</v>
      </c>
      <c r="B147">
        <v>0</v>
      </c>
      <c r="C147" t="s">
        <v>74</v>
      </c>
    </row>
    <row r="148" spans="1:5">
      <c r="A148" t="s">
        <v>106</v>
      </c>
      <c r="B148">
        <v>1</v>
      </c>
      <c r="C148" t="s">
        <v>67</v>
      </c>
    </row>
    <row r="149" spans="1:5">
      <c r="A149" t="s">
        <v>106</v>
      </c>
      <c r="B149">
        <v>98</v>
      </c>
      <c r="C149" t="s">
        <v>68</v>
      </c>
    </row>
  </sheetData>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7FE2-2D2E-44C5-BB4F-1DF445D35875}">
  <sheetPr codeName="Sheet1"/>
  <dimension ref="A1:E4"/>
  <sheetViews>
    <sheetView workbookViewId="0">
      <selection activeCell="C5" sqref="C5"/>
    </sheetView>
  </sheetViews>
  <sheetFormatPr defaultRowHeight="14.5"/>
  <cols>
    <col min="1" max="1" width="36.81640625" bestFit="1" customWidth="1"/>
    <col min="2" max="2" width="17.7265625" bestFit="1" customWidth="1"/>
    <col min="3" max="3" width="40.26953125" bestFit="1" customWidth="1"/>
    <col min="4" max="4" width="15.1796875" bestFit="1" customWidth="1"/>
    <col min="5" max="5" width="16.54296875" bestFit="1" customWidth="1"/>
  </cols>
  <sheetData>
    <row r="1" spans="1:5">
      <c r="A1" s="3" t="s">
        <v>0</v>
      </c>
      <c r="B1" s="3" t="s">
        <v>1</v>
      </c>
      <c r="C1" s="3" t="s">
        <v>2</v>
      </c>
      <c r="D1" s="3" t="s">
        <v>3</v>
      </c>
      <c r="E1" s="3" t="s">
        <v>4</v>
      </c>
    </row>
    <row r="2" spans="1:5">
      <c r="A2" t="s">
        <v>555</v>
      </c>
      <c r="B2" t="s">
        <v>6</v>
      </c>
      <c r="C2" s="2" t="s">
        <v>209</v>
      </c>
      <c r="D2" t="str">
        <f ca="1">TEXT(NOW(), "yyyymmddhhmmss")</f>
        <v>20260115231218</v>
      </c>
      <c r="E2" t="s">
        <v>473</v>
      </c>
    </row>
    <row r="4" spans="1:5">
      <c r="D4"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erson xmlns="7a2ce8f2-2204-4367-a41c-b735e7c03037">
      <UserInfo>
        <DisplayName/>
        <AccountId xsi:nil="true"/>
        <AccountType/>
      </UserInfo>
    </Person>
    <TaxCatchAll xmlns="f53cdae7-58e9-463a-80c4-ff1f1a52caeb" xsi:nil="true"/>
    <lcf76f155ced4ddcb4097134ff3c332f xmlns="7a2ce8f2-2204-4367-a41c-b735e7c0303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F11AF2F54683D48B47D51E7C5C20D0A" ma:contentTypeVersion="21" ma:contentTypeDescription="Create a new document." ma:contentTypeScope="" ma:versionID="6c3ec6b3112fff6afcb2e1bceac7318f">
  <xsd:schema xmlns:xsd="http://www.w3.org/2001/XMLSchema" xmlns:xs="http://www.w3.org/2001/XMLSchema" xmlns:p="http://schemas.microsoft.com/office/2006/metadata/properties" xmlns:ns2="7a2ce8f2-2204-4367-a41c-b735e7c03037" xmlns:ns3="f53cdae7-58e9-463a-80c4-ff1f1a52caeb" targetNamespace="http://schemas.microsoft.com/office/2006/metadata/properties" ma:root="true" ma:fieldsID="1733b412cddd9f821d661af390973bad" ns2:_="" ns3:_="">
    <xsd:import namespace="7a2ce8f2-2204-4367-a41c-b735e7c03037"/>
    <xsd:import namespace="f53cdae7-58e9-463a-80c4-ff1f1a52cae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element ref="ns2:Pers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ce8f2-2204-4367-a41c-b735e7c030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f481388-e4f2-439f-bf9b-2973949102f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Person" ma:index="26"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53cdae7-58e9-463a-80c4-ff1f1a52cae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80ac432-b52e-4b43-bc4d-225ae3d48219}" ma:internalName="TaxCatchAll" ma:showField="CatchAllData" ma:web="f53cdae7-58e9-463a-80c4-ff1f1a52ca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4A0336-77D1-453F-B358-8B53C5BA73A7}">
  <ds:schemaRefs>
    <ds:schemaRef ds:uri="http://schemas.microsoft.com/office/2006/metadata/properties"/>
    <ds:schemaRef ds:uri="http://schemas.microsoft.com/office/infopath/2007/PartnerControls"/>
    <ds:schemaRef ds:uri="7a2ce8f2-2204-4367-a41c-b735e7c03037"/>
    <ds:schemaRef ds:uri="f53cdae7-58e9-463a-80c4-ff1f1a52caeb"/>
  </ds:schemaRefs>
</ds:datastoreItem>
</file>

<file path=customXml/itemProps2.xml><?xml version="1.0" encoding="utf-8"?>
<ds:datastoreItem xmlns:ds="http://schemas.openxmlformats.org/officeDocument/2006/customXml" ds:itemID="{B4F0D69F-8289-49B7-9001-9668F11D4A7E}"/>
</file>

<file path=customXml/itemProps3.xml><?xml version="1.0" encoding="utf-8"?>
<ds:datastoreItem xmlns:ds="http://schemas.openxmlformats.org/officeDocument/2006/customXml" ds:itemID="{EA6162D1-17AE-4588-924B-EBCDBFA7DB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Eleanore Sternberg | Tropical Health</cp:lastModifiedBy>
  <dcterms:created xsi:type="dcterms:W3CDTF">2015-06-05T18:17:20Z</dcterms:created>
  <dcterms:modified xsi:type="dcterms:W3CDTF">2026-01-15T23:12:47Z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0x010100BF11AF2F54683D48B47D51E7C5C20D0A</vt:lpwstr>
  </property>
  <property fmtid="{D5CDD505-2E9C-101B-9397-08002B2CF9AE}" pid="3" name="MediaServiceImageTags">
    <vt:lpwstr/>
  </property>
</Properties>
</file>