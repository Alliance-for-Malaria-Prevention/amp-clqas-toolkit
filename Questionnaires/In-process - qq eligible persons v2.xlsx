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tropichealthcom.sharepoint.com/sites/Projects77/Projects  Open/C033 - OPITACA/60 - Implementation/WS3 - Data and cLQAS/TH adaptable tools/Analysis scripts/clqas-tools/Questionnaires/"/>
    </mc:Choice>
  </mc:AlternateContent>
  <xr:revisionPtr revIDLastSave="0" documentId="14_{0039BD69-3349-4164-A5D6-D4181FE01318}" xr6:coauthVersionLast="47" xr6:coauthVersionMax="47" xr10:uidLastSave="{00000000-0000-0000-0000-000000000000}"/>
  <bookViews>
    <workbookView xWindow="-75" yWindow="-16320" windowWidth="29040" windowHeight="16440" xr2:uid="{00000000-000D-0000-FFFF-FFFF00000000}"/>
  </bookViews>
  <sheets>
    <sheet name="survey" sheetId="1" r:id="rId1"/>
    <sheet name="choices" sheetId="2" r:id="rId2"/>
    <sheet name="settings" sheetId="3" r:id="rId3"/>
  </sheets>
  <definedNames>
    <definedName name="_xlnm._FilterDatabase" localSheetId="0" hidden="1">survey!$A$1:$O$139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tc={11959A5F-AED2-4115-B169-A4C4C8EBF4BD}</author>
    <author>tc={175A5919-A743-4230-B4EA-D0FCA69F5822}</author>
  </authors>
  <commentList>
    <comment ref="C124" authorId="0" shapeId="0" xr:uid="{11959A5F-AED2-4115-B169-A4C4C8EBF4BD}">
      <text>
        <t>[Threaded comment]
Your version of Excel allows you to read this threaded comment; however, any edits to it will get removed if the file is opened in a newer version of Excel. Learn more: https://go.microsoft.com/fwlink/?linkid=870924
Comment:
    The date of ITN distribution can be displayed if known at the time of programming so the assessor can compare the response with the planned date.</t>
      </text>
    </comment>
    <comment ref="C126" authorId="1" shapeId="0" xr:uid="{175A5919-A743-4230-B4EA-D0FCA69F5822}">
      <text>
        <t>[Threaded comment]
Your version of Excel allows you to read this threaded comment; however, any edits to it will get removed if the file is opened in a newer version of Excel. Learn more: https://go.microsoft.com/fwlink/?linkid=870924
Comment:
    The location of ITN distribution can be displayed if known at the time of programming so the assessor can compare the response with the planned location.</t>
      </text>
    </comment>
  </commentList>
</comments>
</file>

<file path=xl/sharedStrings.xml><?xml version="1.0" encoding="utf-8"?>
<sst xmlns="http://schemas.openxmlformats.org/spreadsheetml/2006/main" count="787" uniqueCount="467">
  <si>
    <t>form_title</t>
  </si>
  <si>
    <t>form_id</t>
  </si>
  <si>
    <t>instance_name</t>
  </si>
  <si>
    <t>version</t>
  </si>
  <si>
    <t>default_language</t>
  </si>
  <si>
    <t>English</t>
  </si>
  <si>
    <t>end</t>
  </si>
  <si>
    <t>type</t>
  </si>
  <si>
    <t>name</t>
  </si>
  <si>
    <t>label::English</t>
  </si>
  <si>
    <t>repeat_count</t>
  </si>
  <si>
    <t>choice_filter</t>
  </si>
  <si>
    <t>hint::English</t>
  </si>
  <si>
    <t>constraint</t>
  </si>
  <si>
    <t>required</t>
  </si>
  <si>
    <t>appearance</t>
  </si>
  <si>
    <t>default</t>
  </si>
  <si>
    <t>relevant</t>
  </si>
  <si>
    <t>read_only</t>
  </si>
  <si>
    <t>calculation</t>
  </si>
  <si>
    <t>list_name</t>
  </si>
  <si>
    <t>start</t>
  </si>
  <si>
    <t>endtime</t>
  </si>
  <si>
    <t>deviceid</t>
  </si>
  <si>
    <t>calculate</t>
  </si>
  <si>
    <t>note</t>
  </si>
  <si>
    <t>integer</t>
  </si>
  <si>
    <t>select_one region_list</t>
  </si>
  <si>
    <t>select_one district_list</t>
  </si>
  <si>
    <t>region_list</t>
  </si>
  <si>
    <t>Region1</t>
  </si>
  <si>
    <t>Region2</t>
  </si>
  <si>
    <t>Region3</t>
  </si>
  <si>
    <t>district_list</t>
  </si>
  <si>
    <t>District1</t>
  </si>
  <si>
    <t>District2</t>
  </si>
  <si>
    <t>District3</t>
  </si>
  <si>
    <t>subdistr_list</t>
  </si>
  <si>
    <t>select_one subdistr_list</t>
  </si>
  <si>
    <t>Subdistrict1</t>
  </si>
  <si>
    <t>Subdistrict2</t>
  </si>
  <si>
    <t>Subdistrict3</t>
  </si>
  <si>
    <t>select_one cluster_list</t>
  </si>
  <si>
    <t>cluster_list</t>
  </si>
  <si>
    <t>hh_n</t>
  </si>
  <si>
    <t>Enter the sequential count of households approached in this cluster</t>
  </si>
  <si>
    <t>Select your region:</t>
  </si>
  <si>
    <t>Select your district:</t>
  </si>
  <si>
    <t>Select your sub-district:</t>
  </si>
  <si>
    <t>For example, if this is the fifth house you have approached in this cluster, enter 5</t>
  </si>
  <si>
    <t>hh_visit_detail_list</t>
  </si>
  <si>
    <t>Refused</t>
  </si>
  <si>
    <t>begin group</t>
  </si>
  <si>
    <t>table-list</t>
  </si>
  <si>
    <t>geopoint</t>
  </si>
  <si>
    <t>GPS</t>
  </si>
  <si>
    <t>end group</t>
  </si>
  <si>
    <t>text</t>
  </si>
  <si>
    <t>hohh_name</t>
  </si>
  <si>
    <t>What is the name of the head of household?</t>
  </si>
  <si>
    <t>numbers</t>
  </si>
  <si>
    <t>phone_n</t>
  </si>
  <si>
    <t>What is the contact number for the household?</t>
  </si>
  <si>
    <t>barcode</t>
  </si>
  <si>
    <t>voucher_n</t>
  </si>
  <si>
    <t>hhr_voucher</t>
  </si>
  <si>
    <t>select_one voucher_list</t>
  </si>
  <si>
    <t>voucher_list</t>
  </si>
  <si>
    <t>Yes</t>
  </si>
  <si>
    <t>Don't know</t>
  </si>
  <si>
    <t xml:space="preserve">Scan the QR code  </t>
  </si>
  <si>
    <t>Enter the voucher number</t>
  </si>
  <si>
    <t>Introduction and informed consent</t>
  </si>
  <si>
    <t>select_one yn_list</t>
  </si>
  <si>
    <t>yn_list</t>
  </si>
  <si>
    <t>No</t>
  </si>
  <si>
    <t>introduced</t>
  </si>
  <si>
    <t>participate</t>
  </si>
  <si>
    <t>Enter the GPS coordinates</t>
  </si>
  <si>
    <t>note_farewell_n</t>
  </si>
  <si>
    <t>begin repeat</t>
  </si>
  <si>
    <t>repeat_hh_residents</t>
  </si>
  <si>
    <t>gender</t>
  </si>
  <si>
    <t>select_one mf_list</t>
  </si>
  <si>
    <t>mf_list</t>
  </si>
  <si>
    <t>Male</t>
  </si>
  <si>
    <t>Female</t>
  </si>
  <si>
    <t>Age must be under 120 years</t>
  </si>
  <si>
    <t>age_y</t>
  </si>
  <si>
    <t>age_m</t>
  </si>
  <si>
    <t>.&lt;12</t>
  </si>
  <si>
    <t>Age in months cannot be more than 11 months</t>
  </si>
  <si>
    <t>${age_y} = 0</t>
  </si>
  <si>
    <t>eligible</t>
  </si>
  <si>
    <t>end repeat</t>
  </si>
  <si>
    <t>note_elig</t>
  </si>
  <si>
    <t>note_under5</t>
  </si>
  <si>
    <t>note_olderchild</t>
  </si>
  <si>
    <t>note_adult</t>
  </si>
  <si>
    <t>date_interview</t>
  </si>
  <si>
    <t>media::image::English</t>
  </si>
  <si>
    <t>Additional variables use for digital matching</t>
  </si>
  <si>
    <t>Respondent home and consented</t>
  </si>
  <si>
    <t>yes</t>
  </si>
  <si>
    <t>yndk_list</t>
  </si>
  <si>
    <t>select_one yndk_list</t>
  </si>
  <si>
    <t>visited</t>
  </si>
  <si>
    <t>select_one notreg_list</t>
  </si>
  <si>
    <t>notreg_list</t>
  </si>
  <si>
    <t>Other (specify)</t>
  </si>
  <si>
    <t>notreg</t>
  </si>
  <si>
    <t>oth_notreg</t>
  </si>
  <si>
    <t>Read responses</t>
  </si>
  <si>
    <t>Why was this household not registered for the campaign?</t>
  </si>
  <si>
    <t>No one was at home when the HHR team were in the community</t>
  </si>
  <si>
    <t>Refused to be registered when HHR team came</t>
  </si>
  <si>
    <t>Respondent does not know why household wasn’t registered</t>
  </si>
  <si>
    <t>Specify other reason</t>
  </si>
  <si>
    <t>rec_seen</t>
  </si>
  <si>
    <t>Can you show us the document?</t>
  </si>
  <si>
    <t>hhr_record</t>
  </si>
  <si>
    <t>rec_elig</t>
  </si>
  <si>
    <t>How many eligible people are noted on the document?</t>
  </si>
  <si>
    <t>If people not listed, enter 98</t>
  </si>
  <si>
    <t>${hhr_record} = '1'</t>
  </si>
  <si>
    <t>hhr_verbal</t>
  </si>
  <si>
    <t>verbal_elig</t>
  </si>
  <si>
    <t>If not stated or don't recall, enter 98</t>
  </si>
  <si>
    <t>What did the HHR team say was the number of eligible people in this household?</t>
  </si>
  <si>
    <t>${hhr_verbal} = '1'</t>
  </si>
  <si>
    <t>hhr_u5</t>
  </si>
  <si>
    <r>
      <t xml:space="preserve">Number of children under 5 must be less than </t>
    </r>
    <r>
      <rPr>
        <sz val="11"/>
        <color rgb="FF00B0F0"/>
        <rFont val="Calibri"/>
        <family val="2"/>
        <scheme val="minor"/>
      </rPr>
      <t>10</t>
    </r>
  </si>
  <si>
    <t>hhr_olderchild</t>
  </si>
  <si>
    <r>
      <t xml:space="preserve">Number of children aged 5 to 17 must be less than </t>
    </r>
    <r>
      <rPr>
        <sz val="11"/>
        <color rgb="FF00B0F0"/>
        <rFont val="Calibri"/>
        <family val="2"/>
        <scheme val="minor"/>
      </rPr>
      <t>10</t>
    </r>
  </si>
  <si>
    <t>hhr_u5_elig</t>
  </si>
  <si>
    <t>hhr_olderch_elig</t>
  </si>
  <si>
    <t>hhr_adult</t>
  </si>
  <si>
    <t>hhr_adult_elig</t>
  </si>
  <si>
    <r>
      <t xml:space="preserve">Number of adults aged 18 years and older must be less than </t>
    </r>
    <r>
      <rPr>
        <sz val="11"/>
        <color rgb="FF00B0F0"/>
        <rFont val="Calibri"/>
        <family val="2"/>
        <scheme val="minor"/>
      </rPr>
      <t>10</t>
    </r>
  </si>
  <si>
    <t>${hhr_u5_elig} + ${hhr_olderch_elig} + ${hhr_adult_elig}</t>
  </si>
  <si>
    <t>elig_check</t>
  </si>
  <si>
    <t xml:space="preserve">Check that you have correctly recorded the number of eligible people in each age group. </t>
  </si>
  <si>
    <t>select_one mismatch_list</t>
  </si>
  <si>
    <t>reason_mismatch</t>
  </si>
  <si>
    <t>mismatch_list</t>
  </si>
  <si>
    <t>descr_mismatch</t>
  </si>
  <si>
    <t>HHR outcome reported verbally</t>
  </si>
  <si>
    <t>Written record of HHR outcome</t>
  </si>
  <si>
    <t>Details of this person</t>
  </si>
  <si>
    <t>aware_list</t>
  </si>
  <si>
    <t>Aware of neither date nor location</t>
  </si>
  <si>
    <t>Aware of date and location</t>
  </si>
  <si>
    <t>aware</t>
  </si>
  <si>
    <t>Campaign-related staff (e.g. registration and/or distribution team)</t>
  </si>
  <si>
    <t>Town announcer</t>
  </si>
  <si>
    <t>Community or religious leader</t>
  </si>
  <si>
    <t>Family or friends</t>
  </si>
  <si>
    <t>Radio</t>
  </si>
  <si>
    <t>TV</t>
  </si>
  <si>
    <t>SMS</t>
  </si>
  <si>
    <t>Sleep under your net every night</t>
  </si>
  <si>
    <t>Nets prevent malaria</t>
  </si>
  <si>
    <t>final_comments</t>
  </si>
  <si>
    <t xml:space="preserve">${visited} = '1' </t>
  </si>
  <si>
    <t>Please note any problems you had completing this interview.</t>
  </si>
  <si>
    <t>calc_hh_id</t>
  </si>
  <si>
    <t>group_intro_ic</t>
  </si>
  <si>
    <t>group_resident_agesex</t>
  </si>
  <si>
    <t>(${calc_hh_id}*100) + position(..)</t>
  </si>
  <si>
    <t>concat(${calc_hh_id},'_', ${date_interview})</t>
  </si>
  <si>
    <t>group_matching</t>
  </si>
  <si>
    <t>note_roster</t>
  </si>
  <si>
    <t>group_roster_count</t>
  </si>
  <si>
    <t>group_consenting_hh</t>
  </si>
  <si>
    <t>group_gps_coords</t>
  </si>
  <si>
    <t>group_written_rec</t>
  </si>
  <si>
    <t>group_oral_rec</t>
  </si>
  <si>
    <t>group_agegr</t>
  </si>
  <si>
    <t>region</t>
  </si>
  <si>
    <t>district</t>
  </si>
  <si>
    <t>subdistrict</t>
  </si>
  <si>
    <t>cluster</t>
  </si>
  <si>
    <t>field-list</t>
  </si>
  <si>
    <t>reason_nogps</t>
  </si>
  <si>
    <t>${geopoint} = ''</t>
  </si>
  <si>
    <t>${hhr_voucher} = '1'</t>
  </si>
  <si>
    <t>People living in the household</t>
  </si>
  <si>
    <t>group_u5</t>
  </si>
  <si>
    <t>Under five years old</t>
  </si>
  <si>
    <t>Children between 5 to 17 years</t>
  </si>
  <si>
    <t>group_olderchild</t>
  </si>
  <si>
    <t>group_adult</t>
  </si>
  <si>
    <t>Adults 18 years and older</t>
  </si>
  <si>
    <t>calc_elig_count</t>
  </si>
  <si>
    <t>calc_under5_count</t>
  </si>
  <si>
    <t>calc_olderchild_count</t>
  </si>
  <si>
    <t>calc_adult_count</t>
  </si>
  <si>
    <t>calc_allelig</t>
  </si>
  <si>
    <t>calc_under5</t>
  </si>
  <si>
    <t>calc_olderchild</t>
  </si>
  <si>
    <t>calc_adult</t>
  </si>
  <si>
    <t>sum(${calc_allelig})</t>
  </si>
  <si>
    <t>sum(${calc_under5})</t>
  </si>
  <si>
    <t>sum(${calc_olderchild})</t>
  </si>
  <si>
    <t>sum(${calc_adult})</t>
  </si>
  <si>
    <t>calc_id_field</t>
  </si>
  <si>
    <t>calc_hhr_elig_count</t>
  </si>
  <si>
    <t>note_intro</t>
  </si>
  <si>
    <t>group_hh_location</t>
  </si>
  <si>
    <t>Household identification</t>
  </si>
  <si>
    <t>Select your cluster:</t>
  </si>
  <si>
    <t>Explain why you did not record GPS coordinates for this household.</t>
  </si>
  <si>
    <t>The respondent has agreed to participate.</t>
  </si>
  <si>
    <t>present</t>
  </si>
  <si>
    <t>${present} = '1'</t>
  </si>
  <si>
    <t>voucher_qr</t>
  </si>
  <si>
    <t>Did the household receive a coupon or voucher from the HHR team?</t>
  </si>
  <si>
    <t>group_sec1_roster</t>
  </si>
  <si>
    <t>Section 1. People living in the household</t>
  </si>
  <si>
    <t>Is ${name} male or female?</t>
  </si>
  <si>
    <t>How old is ${name} in years?</t>
  </si>
  <si>
    <t>How old is ${name} in months?</t>
  </si>
  <si>
    <t>Children under 5 years of age: ${calc_under5_count}</t>
  </si>
  <si>
    <t>Adults (over 18 years of age): ${calc_adult_count}</t>
  </si>
  <si>
    <t>group_hhr_visit_yes</t>
  </si>
  <si>
    <t>HHR occurred</t>
  </si>
  <si>
    <t>${rec_seen} = '1'</t>
  </si>
  <si>
    <t>group_sec2_hhr_visit</t>
  </si>
  <si>
    <t>Section 2. Outcome of HHR</t>
  </si>
  <si>
    <t>oth_mismatch</t>
  </si>
  <si>
    <t>Aware of date, NOT location</t>
  </si>
  <si>
    <t>Aware of location, NOT date</t>
  </si>
  <si>
    <t>select_multiple aware_source_list</t>
  </si>
  <si>
    <t>aware_source</t>
  </si>
  <si>
    <t>Do not read responses
Select all that apply</t>
  </si>
  <si>
    <t>oth_aware_source</t>
  </si>
  <si>
    <t>Specify other sources of information.</t>
  </si>
  <si>
    <t>selected(${aware_source},'96')</t>
  </si>
  <si>
    <t>aware_source_list</t>
  </si>
  <si>
    <t xml:space="preserve">Newspaper </t>
  </si>
  <si>
    <t>sbc_msg</t>
  </si>
  <si>
    <t>oth_sbc_msg</t>
  </si>
  <si>
    <t>select_multiple sbc_msg_list</t>
  </si>
  <si>
    <t>sbc_msg_list</t>
  </si>
  <si>
    <t>selected(${sbc_msg},'96')</t>
  </si>
  <si>
    <t>Specify other information or messages received.</t>
  </si>
  <si>
    <t>${participate} = '1'</t>
  </si>
  <si>
    <t>Yes: QR code</t>
  </si>
  <si>
    <t>Yes: Coupon or voucher with number</t>
  </si>
  <si>
    <t>If less than 1 year write 0 in the box and enter months in the next box.&lt;br&gt;If the age is unknown then enter 999.</t>
  </si>
  <si>
    <t>constraint_message::English</t>
  </si>
  <si>
    <t>Is someone present in house to whom you can introduce the assessment?</t>
  </si>
  <si>
    <t>res_no</t>
  </si>
  <si>
    <t>First names of person number ${res_no} currently living in the household.</t>
  </si>
  <si>
    <t>Children 5 to 17 years of age: ${calc_olderchild_count}</t>
  </si>
  <si>
    <t xml:space="preserve"> </t>
  </si>
  <si>
    <t>.&lt;=${hhr_u5}</t>
  </si>
  <si>
    <t>.&lt;=${hhr_olderchild}</t>
  </si>
  <si>
    <t>Number of eligible children aged 5 to 17 must be less than the total number of children in this age group</t>
  </si>
  <si>
    <t>.&lt;=${hhr_adult}</t>
  </si>
  <si>
    <t>Number of eligible adults aged 18 years and older must be less than the total number of adults</t>
  </si>
  <si>
    <r>
      <t>.&lt;</t>
    </r>
    <r>
      <rPr>
        <sz val="11"/>
        <color rgb="FF00B0F0"/>
        <rFont val="Calibri"/>
        <family val="2"/>
        <scheme val="minor"/>
      </rPr>
      <t>10</t>
    </r>
  </si>
  <si>
    <t>.='1'</t>
  </si>
  <si>
    <t>columns-1</t>
  </si>
  <si>
    <t>position(..)</t>
  </si>
  <si>
    <t>&lt;font color=red&gt;&lt;b&gt;Assessor:&lt;/b&gt;
Based on the campaign rules, is ${name} eligible for inclusion in the HHR for this household?</t>
  </si>
  <si>
    <t>&lt;font color=red&gt;&lt;b&gt;Assessor:&lt;/b&gt;
&lt;i&gt;How many of these children under 5 years of age were eligible for the ITN campaign?&lt;/i&gt;</t>
  </si>
  <si>
    <t>&lt;font color=red&gt;&lt;b&gt;Assessor:&lt;/b&gt;
&lt;i&gt;How many of these children aged 5 to 17 years of age were eligible for the ITN campaign?&lt;/i&gt;</t>
  </si>
  <si>
    <t>&lt;font color=red&gt;&lt;b&gt;Assessor:&lt;/b&gt;
&lt;i&gt;How many of these adults aged 18 years and older were eligible for the ITN campaign?&lt;/i&gt;</t>
  </si>
  <si>
    <t>Number of eligible children under 5 must be less than the total number of children in this age group</t>
  </si>
  <si>
    <r>
      <t>.&gt;0 and .&lt;</t>
    </r>
    <r>
      <rPr>
        <sz val="11"/>
        <color rgb="FF00B0F0"/>
        <rFont val="Calibri"/>
        <family val="2"/>
        <scheme val="minor"/>
      </rPr>
      <t>20</t>
    </r>
    <r>
      <rPr>
        <sz val="11"/>
        <color theme="1"/>
        <rFont val="Calibri"/>
        <family val="2"/>
        <scheme val="minor"/>
      </rPr>
      <t xml:space="preserve"> or . = 98</t>
    </r>
  </si>
  <si>
    <r>
      <t xml:space="preserve">Number of eligible people must be less than </t>
    </r>
    <r>
      <rPr>
        <sz val="11"/>
        <color rgb="FF00B0F0"/>
        <rFont val="Calibri"/>
        <family val="2"/>
        <scheme val="minor"/>
      </rPr>
      <t>20</t>
    </r>
    <r>
      <rPr>
        <sz val="11"/>
        <color theme="1"/>
        <rFont val="Calibri"/>
        <family val="2"/>
        <scheme val="minor"/>
      </rPr>
      <t xml:space="preserve"> (and more than 0)</t>
    </r>
  </si>
  <si>
    <t>(How to) Use your net</t>
  </si>
  <si>
    <t>(How to) Care for your net</t>
  </si>
  <si>
    <t>(How to) Hang up your net</t>
  </si>
  <si>
    <t>(How to) Repair your net</t>
  </si>
  <si>
    <t>in_process_ques</t>
  </si>
  <si>
    <t>Capture the details of people living in the household and record their eligibility for HHR by applying the campaign rules.
&lt;i&gt;Record any person who usually lives here, including domestic servants, lodgers, and friends. Don't forget to record infants and small children.&lt;/i&gt;</t>
  </si>
  <si>
    <t>Was this household visited by an ITN campaign household registration team and registered for the campaign yesterday?
&lt;i&gt;The team would have talked to you about the upcoming ITN distribution and recorded information about the number of people living in your household. They will have given you a card voucher that you need to present to collect your ITNs when the distribution happens.&lt;/i&gt;</t>
  </si>
  <si>
    <t>People were in the house yesterday and the HHR team did not visit</t>
  </si>
  <si>
    <t>Did the HHR team that visited yesterday give you a written record of their visit with the number of eligible household members noted?</t>
  </si>
  <si>
    <t xml:space="preserve">Did the HHR team that visited yesterday tell you the number of eligible household members for the distribution? </t>
  </si>
  <si>
    <t>When the HHR team visited yesterday, how many children under 5 years of age were living in the household?</t>
  </si>
  <si>
    <t>When the HHR team visited yesterday, how many children aged 5 to 17 years were living in the household?</t>
  </si>
  <si>
    <t>When the HHR team visited yesterday, how many adults aged 18 years and older were living in the household?</t>
  </si>
  <si>
    <t>calc_rec_elig</t>
  </si>
  <si>
    <t>calc_verbal_elig</t>
  </si>
  <si>
    <t>if(${calc_rec_elig}&gt;0,${calc_rec_elig},if(${calc_verbal_elig}&gt;0,${calc_verbal_elig},${calc_hhr_elig_count}))</t>
  </si>
  <si>
    <t>calc_elig_hhr</t>
  </si>
  <si>
    <t>calc_elig_correct</t>
  </si>
  <si>
    <t xml:space="preserve">if(${calc_elig_hhr} = ${calc_elig_count}, 1, 0) </t>
  </si>
  <si>
    <t>${calc_elig_correct} = '1'</t>
  </si>
  <si>
    <t>${calc_elig_correct} = '0'</t>
  </si>
  <si>
    <t>group_wrong_elig</t>
  </si>
  <si>
    <t>Mismatch in counts of eligible persons</t>
  </si>
  <si>
    <t>&lt;font color=red&gt;&lt;b&gt;Assessor:&lt;/b&gt;
Why is there a mismatch between the HHR count of eligible persons and the assessment recount?</t>
  </si>
  <si>
    <t>Why is there a mismatch between the HHR count of eligible persons and the assessment recount?</t>
  </si>
  <si>
    <t>&lt;font color=red&gt;&lt;b&gt;Assessor:&lt;/b&gt;
Describe the details of the difference between HHR and assessment counts.</t>
  </si>
  <si>
    <t>HHR did not follow HH definition</t>
  </si>
  <si>
    <t>Household likely inflated number of eligible persons</t>
  </si>
  <si>
    <t>HHR miscount, unknown reason</t>
  </si>
  <si>
    <t>HHR counted &lt;b&gt;eligible&lt;/b&gt; person(s) &lt;b&gt;as ineligible&lt;/b&gt;</t>
  </si>
  <si>
    <t>HHR counted &lt;b&gt;ineligible&lt;/b&gt; person(s) &lt;b&gt;as eligible&lt;/b&gt;</t>
  </si>
  <si>
    <t>group_sec3_sbc</t>
  </si>
  <si>
    <t>Section 3. Knowledge of the campaign</t>
  </si>
  <si>
    <t>Before yesterday, were you aware that registration was going to take place for the upcoming ITN campaign?</t>
  </si>
  <si>
    <t>Where did you hear that registration was going to happen?</t>
  </si>
  <si>
    <t>${aware} = '1'</t>
  </si>
  <si>
    <t>group_sec3_visted</t>
  </si>
  <si>
    <t>info_date</t>
  </si>
  <si>
    <t>Did the team that visited you yesterday tell you the date on which the ITN distribution will happen?</t>
  </si>
  <si>
    <t>correct_date</t>
  </si>
  <si>
    <t>What is the date for the ITN distribution?
&lt;font color=red&gt;&lt;b&gt;Assessor:&lt;/b&gt;
Does the respondent know the distribution date?</t>
  </si>
  <si>
    <t>info_loc</t>
  </si>
  <si>
    <t>correct_loc</t>
  </si>
  <si>
    <t>Did the team that visited you yesterday tell you where you should go to collect your ITN(s)?</t>
  </si>
  <si>
    <t>Where should you go to collect your ITN(s)?
&lt;font color=red&gt;&lt;b&gt;Assessor:&lt;/b&gt;
Does the respondent know the distribution location?</t>
  </si>
  <si>
    <t>Select response based on discussion with the respondent and the local distribution plan</t>
  </si>
  <si>
    <t>Did the team that visited you yesterday give you any other information about ITNs?</t>
  </si>
  <si>
    <t>sbc_hhrstaff</t>
  </si>
  <si>
    <t>What information did the team give you?</t>
  </si>
  <si>
    <t>${sbc_hhrstaff} = '1'</t>
  </si>
  <si>
    <t>${info_date} = '1'</t>
  </si>
  <si>
    <t>${info_loc} = '1'</t>
  </si>
  <si>
    <t>&lt;div style="text-align:center"&gt;FLAG HERE&lt;br&gt;COUNTRY NAME&lt;br&gt;YEAR ITN Campaign&lt;br&gt;&lt;br&gt;In-Process HHR Assessment&lt;br&gt;&lt;br&gt;Welcome&lt;/div&gt;</t>
  </si>
  <si>
    <t>If no number, enter 999.</t>
  </si>
  <si>
    <t>.&lt;120 or .=999</t>
  </si>
  <si>
    <t>if(${eligible} = 1, 1, 0)</t>
  </si>
  <si>
    <t>if(${eligible} = 1 and ${age_y} &lt; 5, 1, 0)</t>
  </si>
  <si>
    <t>if(${eligible} = 1 and ${age_y} &gt;= 5 and ${age_y} &lt; 18, 1, 0)</t>
  </si>
  <si>
    <t>if(${eligible} = 1 and ${age_y} &gt;= 18, 1, 0)</t>
  </si>
  <si>
    <t>if(${rec_elig}=98,null,${rec_elig})</t>
  </si>
  <si>
    <t>if(${verbal_elig}=98,null,${verbal_elig})</t>
  </si>
  <si>
    <t>${calc_rec_elig}=null</t>
  </si>
  <si>
    <t>Let me check if I have this correct:
The total number of people living in this household and eligible for the ITN campaign when the HHR team visited yesterday, was ${calc_hhr_elig_count}.
Eligible children under 5 = ${hhr_u5_elig}
Eligible children 5-17 = ${hhr_olderch_elig}
Eligible adults = ${hhr_adult_elig}</t>
  </si>
  <si>
    <t>${calc_rec_elig} != null and ${calc_rec_elig} != ${calc_hhr_elig_count}</t>
  </si>
  <si>
    <t>${calc_verbal_elig} != null and ${calc_verbal_elig} != ${calc_hhr_elig_count}</t>
  </si>
  <si>
    <t>${calc_rec_elig} = null and ${calc_verbal_elig} = null</t>
  </si>
  <si>
    <t>&lt;font color=red&gt;&lt;b&gt;Assessor:&lt;/b&gt;
Based on the household roster information, the number of people eligible to be registered for the campaign based on today's assessment recount is:
Total: ${calc_elig_count}</t>
  </si>
  <si>
    <t>&lt;font color=red&gt;&lt;b&gt;Assessor:&lt;/b&gt;
&lt;b&gt;Comparing different sources of HHR information&lt;/b&gt;
&lt;i&gt;There is a mismatch between the HHR count of eligible persons based on the written voucher value and the respondent's recall of household composition yesterday.&lt;/i&gt;
Written voucher count = ${calc_rec_elig}
Recall of household composition = ${calc_hhr_elig_count}
&lt;i&gt;For the assessment, the written voucher value will take precedence over the respondent's recall of household composition.&lt;i/&gt;
&lt;i&gt;If either of these values are incorrect, go back and correct them before proceeding.&lt;/i&gt;</t>
  </si>
  <si>
    <t>&lt;font color=red&gt;&lt;b&gt;Assessor:&lt;/b&gt;
&lt;b&gt;Comparing different sources of HHR information&lt;/b&gt;
&lt;i&gt;There is a mismatch between the HHR count of eligible persons based on the respondent's recall of the voucher value and the respondent's recall of household composition yesterday.&lt;/i&gt;
Recall of voucher count = ${calc_verbal_elig}
Recall of household composition = ${calc_hhr_elig_count}
&lt;i&gt;For the assessment, the recalled voucher value will take precedence over the respondent's recall of household composition.&lt;i/&gt;
&lt;i&gt;If either of these values are incorrect, go back and correct them before proceeding.&lt;/i&gt;</t>
  </si>
  <si>
    <t>&lt;font color=red&gt;&lt;b&gt;Assessor:&lt;/b&gt;
&lt;b&gt;Comparing HHR outcome with Assessment outcome&lt;/b&gt;
HHR count of eligible persons = ${calc_elig_hhr}
Assessment recount = ${calc_elig_count}
&lt;font color=green&gt;MATCH&lt;/font&gt;
&lt;i&gt;Based on the information provided, the HHR count of eligible persons and the assessment recount &lt;font color=green&gt;match.&lt;/font&gt;&lt;i/&gt;</t>
  </si>
  <si>
    <t>&lt;font color=red&gt;&lt;b&gt;Assessor:&lt;/b&gt;
&lt;b&gt;Comparing HHR outcome with Assessment outcome&lt;/b&gt;
HHR count of eligible persons = ${calc_elig_hhr}
Assessment recount = ${calc_elig_count}
&lt;font color=red&gt;MISMATCH&lt;/font&gt;
&lt;i&gt;Based on the information provided, the HHR count of eligible persons (yesterday) and the assessment recount (today) &lt;font color=red&gt;do not match.&lt;/font&gt;&lt;i/&gt;</t>
  </si>
  <si>
    <t>If there is no human-readable code printed on the voucher, select "Don't know"</t>
  </si>
  <si>
    <t>The QR code that you scanned is: ${voucher_qr}. Is this correct?</t>
  </si>
  <si>
    <t>corr_voucher</t>
  </si>
  <si>
    <t>${hhr_voucher} = '2' or ${corr_voucher} = '0'</t>
  </si>
  <si>
    <t>Health worker / CHW</t>
  </si>
  <si>
    <t>hh_visit_detail</t>
  </si>
  <si>
    <t>if(${present} = '0', 2, if(${present} = '1' and ${participate} = '0', 3, 1))</t>
  </si>
  <si>
    <t>${hh_visit_detail} = '2'</t>
  </si>
  <si>
    <t>${hh_visit_detail} = '3' or ${introduced} = '0'</t>
  </si>
  <si>
    <t>${hh_visit_detail} = '1'</t>
  </si>
  <si>
    <t>I have introduced the assessment to the respondent. The respondent has been given the opportunity to ask questions and I have answered all questions to the best of my ability.</t>
  </si>
  <si>
    <t>${introduced} = '1'</t>
  </si>
  <si>
    <t>You have indicated that you did not introduce the assessment or give the respondent the opportunity to ask questions. 
Go back and ensure that you have conduced the informed consent process correctly.</t>
  </si>
  <si>
    <t>${introduced} = '0'</t>
  </si>
  <si>
    <t>Consenting households</t>
  </si>
  <si>
    <t>Roster count</t>
  </si>
  <si>
    <t>Age group count</t>
  </si>
  <si>
    <t>Visited by HHR team</t>
  </si>
  <si>
    <t>No one was present for the interview. Finalize and close the form.
Sample a replacement household and start a new questionnaire. Ensure that 10 households are interviewed in the cluster.</t>
  </si>
  <si>
    <t>The respondent did not agree to participate. Thank the respondent for their time, and finalize and close the form.
Sample a replacement household and start a new questionnaire. Ensure that 10 households are interviewed in the cluster.</t>
  </si>
  <si>
    <t xml:space="preserve">The questionnaire is complete. Thank the respondent for their time, and finalize and close the form. </t>
  </si>
  <si>
    <t>region = ${region}</t>
  </si>
  <si>
    <t>district = ${district}</t>
  </si>
  <si>
    <t>Cluster101</t>
  </si>
  <si>
    <t>Cluster102</t>
  </si>
  <si>
    <t>Cluster103</t>
  </si>
  <si>
    <t>Cluster104</t>
  </si>
  <si>
    <t>Cluster105</t>
  </si>
  <si>
    <t>Cluster106</t>
  </si>
  <si>
    <t>Cluster201</t>
  </si>
  <si>
    <t>Cluster202</t>
  </si>
  <si>
    <t>Cluster203</t>
  </si>
  <si>
    <t>Cluster204</t>
  </si>
  <si>
    <t>Cluster205</t>
  </si>
  <si>
    <t>Cluster206</t>
  </si>
  <si>
    <t>Cluster301</t>
  </si>
  <si>
    <t>Cluster302</t>
  </si>
  <si>
    <t>Cluster303</t>
  </si>
  <si>
    <t>Cluster304</t>
  </si>
  <si>
    <t>Cluster305</t>
  </si>
  <si>
    <t>Cluster306</t>
  </si>
  <si>
    <t>Cluster401</t>
  </si>
  <si>
    <t>Cluster402</t>
  </si>
  <si>
    <t>Cluster403</t>
  </si>
  <si>
    <t>Cluster404</t>
  </si>
  <si>
    <t>Cluster405</t>
  </si>
  <si>
    <t>Cluster406</t>
  </si>
  <si>
    <t>Cluster501</t>
  </si>
  <si>
    <t>Cluster502</t>
  </si>
  <si>
    <t>Cluster503</t>
  </si>
  <si>
    <t>Cluster504</t>
  </si>
  <si>
    <t>Cluster505</t>
  </si>
  <si>
    <t>Cluster506</t>
  </si>
  <si>
    <t>Cluster601</t>
  </si>
  <si>
    <t>Cluster602</t>
  </si>
  <si>
    <t>Cluster603</t>
  </si>
  <si>
    <t>Cluster604</t>
  </si>
  <si>
    <t>Cluster605</t>
  </si>
  <si>
    <t>Cluster606</t>
  </si>
  <si>
    <t>Cluster701</t>
  </si>
  <si>
    <t>Cluster702</t>
  </si>
  <si>
    <t>Cluster703</t>
  </si>
  <si>
    <t>Cluster704</t>
  </si>
  <si>
    <t>Cluster705</t>
  </si>
  <si>
    <t>Cluster706</t>
  </si>
  <si>
    <t>Cluster801</t>
  </si>
  <si>
    <t>Cluster802</t>
  </si>
  <si>
    <t>Cluster803</t>
  </si>
  <si>
    <t>Cluster804</t>
  </si>
  <si>
    <t>Cluster805</t>
  </si>
  <si>
    <t>Cluster806</t>
  </si>
  <si>
    <t>Cluster901</t>
  </si>
  <si>
    <t>Cluster902</t>
  </si>
  <si>
    <t>Cluster903</t>
  </si>
  <si>
    <t>Cluster904</t>
  </si>
  <si>
    <t>Cluster905</t>
  </si>
  <si>
    <t>Cluster906</t>
  </si>
  <si>
    <t>District4</t>
  </si>
  <si>
    <t>District5</t>
  </si>
  <si>
    <t>District6</t>
  </si>
  <si>
    <t>Subdistrict4</t>
  </si>
  <si>
    <t>Subdistrict5</t>
  </si>
  <si>
    <t>Subdistrict6</t>
  </si>
  <si>
    <t>Subdistrict7</t>
  </si>
  <si>
    <t>Subdistrict8</t>
  </si>
  <si>
    <t>Subdistrict9</t>
  </si>
  <si>
    <t>Subdistrict10</t>
  </si>
  <si>
    <t>Subdistrict11</t>
  </si>
  <si>
    <t>Subdistrict12</t>
  </si>
  <si>
    <t>Subdistrict13</t>
  </si>
  <si>
    <t>Subdistrict14</t>
  </si>
  <si>
    <t>Subdistrict15</t>
  </si>
  <si>
    <t>Subdistrict16</t>
  </si>
  <si>
    <t>Subdistrict17</t>
  </si>
  <si>
    <t>Subdistrict18</t>
  </si>
  <si>
    <t>concat(${district}, ${cluster}, ${hh_n})</t>
  </si>
  <si>
    <t>idp</t>
  </si>
  <si>
    <t>In-process assessment of HHR</t>
  </si>
  <si>
    <t>Is ${name} an internally displaced person or other vulnerable group?</t>
  </si>
  <si>
    <t>note_assessor_flag1</t>
  </si>
  <si>
    <t>note_assessor_flag2</t>
  </si>
  <si>
    <t>note_elig_correct_yes</t>
  </si>
  <si>
    <t>note_elig_correct_no</t>
  </si>
  <si>
    <t>note_result_abs</t>
  </si>
  <si>
    <t>note_result_ref</t>
  </si>
  <si>
    <t>note_ic_check</t>
  </si>
  <si>
    <t>Select your interviewer ID</t>
  </si>
  <si>
    <t>select_one interview_list</t>
  </si>
  <si>
    <t>interviewer</t>
  </si>
  <si>
    <t>interview_list</t>
  </si>
  <si>
    <t>Interviewer 1</t>
  </si>
  <si>
    <t>Interviewer 2</t>
  </si>
  <si>
    <t>Interviewer 3</t>
  </si>
  <si>
    <t>Interviewer 4</t>
  </si>
  <si>
    <t>Interviewer 5</t>
  </si>
  <si>
    <t>Interviewer 6</t>
  </si>
  <si>
    <t>Interviewer 7</t>
  </si>
  <si>
    <t>Interviewer 8</t>
  </si>
  <si>
    <t>Interviewer 9</t>
  </si>
  <si>
    <t>Interviewer 10</t>
  </si>
  <si>
    <t>Nobody home</t>
  </si>
  <si>
    <t>${visited} = '0' or ${visited} = '98'</t>
  </si>
  <si>
    <t>${notreg} = '96'</t>
  </si>
  <si>
    <t>${reason_mismatch} = '96'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</si>
</sst>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0"/>
      <name val="Arial"/>
      <family val="2"/>
    </font>
    <font>
      <sz val="12"/>
      <color indexed="8"/>
      <name val="Calibri"/>
      <family val="2"/>
    </font>
    <font>
      <u/>
      <sz val="12"/>
      <color indexed="12"/>
      <name val="Calibri"/>
      <family val="2"/>
    </font>
    <font>
      <sz val="12"/>
      <color theme="1"/>
      <name val="Calibri"/>
      <family val="2"/>
      <charset val="129"/>
      <scheme val="minor"/>
    </font>
    <font>
      <sz val="11"/>
      <name val="Calibri"/>
      <family val="2"/>
      <scheme val="minor"/>
    </font>
    <font>
      <b/>
      <sz val="11"/>
      <color theme="1"/>
      <name val="Calibri"/>
      <family val="2"/>
      <scheme val="minor"/>
    </font>
    <font>
      <sz val="11"/>
      <color rgb="FF000000"/>
      <name val="Calibri"/>
      <family val="2"/>
      <scheme val="minor"/>
    </font>
    <font>
      <b/>
      <sz val="11"/>
      <name val="Calibri"/>
      <family val="2"/>
      <scheme val="minor"/>
    </font>
    <font>
      <sz val="11"/>
      <color rgb="FF00B0F0"/>
      <name val="Calibri"/>
      <family val="2"/>
      <scheme val="minor"/>
    </font>
    <font>
      <sz val="10"/>
      <color theme="1"/>
      <name val="Arial Unicode MS"/>
    </font>
    <font>
      <sz val="11"/>
      <color rgb="FFFF0000"/>
      <name val="Calibri"/>
      <family val="2"/>
      <scheme val="minor"/>
    </font>
    <font>
      <sz val="8"/>
      <name val="Calibri"/>
      <family val="2"/>
      <scheme val="minor"/>
    </font>
    <font>
      <sz val="9"/>
      <color indexed="81"/>
      <name val="Tahoma"/>
      <family val="2"/>
    </font>
  </fonts>
  <fills count="8">
    <fill>
      <patternFill patternType="none"/>
    </fill>
    <fill>
      <patternFill patternType="gray125"/>
    </fill>
    <fill>
      <patternFill patternType="solid">
        <fgColor theme="0" tint="-0.249977111117893"/>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rgb="FFDCC97A"/>
        <bgColor indexed="64"/>
      </patternFill>
    </fill>
  </fills>
  <borders count="5">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5">
    <xf numFmtId="0" fontId="0" fillId="0" borderId="0"/>
    <xf numFmtId="0" fontId="1" fillId="0" borderId="0">
      <alignment vertical="center"/>
    </xf>
    <xf numFmtId="0" fontId="3" fillId="0" borderId="0" applyNumberFormat="0" applyFill="0" applyBorder="0" applyAlignment="0" applyProtection="0">
      <alignment vertical="top"/>
      <protection locked="0"/>
    </xf>
    <xf numFmtId="0" fontId="4" fillId="0" borderId="0"/>
    <xf numFmtId="0" fontId="2" fillId="0" borderId="0"/>
  </cellStyleXfs>
  <cellXfs count="33">
    <xf numFmtId="0" fontId="0" fillId="0" borderId="0" xfId="0"/>
    <xf numFmtId="0" fontId="7" fillId="0" borderId="0" xfId="0" applyFont="1" applyAlignment="1">
      <alignment vertical="center"/>
    </xf>
    <xf numFmtId="0" fontId="5" fillId="0" borderId="0" xfId="0" applyFont="1" applyAlignment="1">
      <alignment vertical="center"/>
    </xf>
    <xf numFmtId="0" fontId="8" fillId="0" borderId="0" xfId="1" applyFont="1">
      <alignment vertical="center"/>
    </xf>
    <xf numFmtId="0" fontId="6" fillId="0" borderId="2" xfId="0" applyFont="1" applyBorder="1"/>
    <xf numFmtId="0" fontId="0" fillId="0" borderId="2" xfId="0" applyBorder="1"/>
    <xf numFmtId="0" fontId="0" fillId="0" borderId="3" xfId="0" applyBorder="1"/>
    <xf numFmtId="0" fontId="0" fillId="2" borderId="4" xfId="0" applyFill="1" applyBorder="1" applyAlignment="1">
      <alignment vertical="top"/>
    </xf>
    <xf numFmtId="0" fontId="0" fillId="0" borderId="4" xfId="0" applyBorder="1" applyAlignment="1">
      <alignment vertical="top"/>
    </xf>
    <xf numFmtId="0" fontId="0" fillId="0" borderId="4" xfId="0" applyBorder="1" applyAlignment="1">
      <alignment vertical="top" wrapText="1"/>
    </xf>
    <xf numFmtId="0" fontId="0" fillId="6" borderId="4" xfId="0" applyFill="1" applyBorder="1" applyAlignment="1">
      <alignment vertical="top" wrapText="1"/>
    </xf>
    <xf numFmtId="0" fontId="0" fillId="7" borderId="4" xfId="0" applyFill="1" applyBorder="1" applyAlignment="1">
      <alignment vertical="top" wrapText="1"/>
    </xf>
    <xf numFmtId="0" fontId="8" fillId="4" borderId="4" xfId="0" applyFont="1" applyFill="1" applyBorder="1" applyAlignment="1">
      <alignment vertical="top" wrapText="1"/>
    </xf>
    <xf numFmtId="0" fontId="6" fillId="4" borderId="4" xfId="0" applyFont="1" applyFill="1" applyBorder="1" applyAlignment="1">
      <alignment vertical="top" wrapText="1"/>
    </xf>
    <xf numFmtId="0" fontId="0" fillId="3" borderId="4" xfId="0" applyFill="1" applyBorder="1" applyAlignment="1">
      <alignment vertical="top" wrapText="1"/>
    </xf>
    <xf numFmtId="0" fontId="5" fillId="0" borderId="4" xfId="0" applyFont="1" applyBorder="1" applyAlignment="1">
      <alignment vertical="top" wrapText="1"/>
    </xf>
    <xf numFmtId="0" fontId="5" fillId="6" borderId="4" xfId="0" applyFont="1" applyFill="1" applyBorder="1" applyAlignment="1">
      <alignment vertical="top" wrapText="1"/>
    </xf>
    <xf numFmtId="0" fontId="0" fillId="5" borderId="4" xfId="0" applyFill="1" applyBorder="1" applyAlignment="1">
      <alignment vertical="top" wrapText="1"/>
    </xf>
    <xf numFmtId="0" fontId="9" fillId="0" borderId="4" xfId="0" applyFont="1" applyBorder="1" applyAlignment="1">
      <alignment vertical="top" wrapText="1"/>
    </xf>
    <xf numFmtId="0" fontId="9" fillId="3" borderId="4" xfId="0" applyFont="1" applyFill="1" applyBorder="1" applyAlignment="1">
      <alignment vertical="top" wrapText="1"/>
    </xf>
    <xf numFmtId="0" fontId="10" fillId="0" borderId="4" xfId="0" applyFont="1" applyBorder="1" applyAlignment="1">
      <alignment vertical="top" wrapText="1"/>
    </xf>
    <xf numFmtId="0" fontId="11" fillId="7" borderId="4" xfId="0" applyFont="1" applyFill="1" applyBorder="1" applyAlignment="1">
      <alignment vertical="top" wrapText="1"/>
    </xf>
    <xf numFmtId="0" fontId="6" fillId="0" borderId="4" xfId="0" applyFont="1" applyBorder="1" applyAlignment="1">
      <alignment vertical="top" wrapText="1"/>
    </xf>
    <xf numFmtId="0" fontId="0" fillId="0" borderId="0" xfId="0" applyAlignment="1">
      <alignment wrapText="1"/>
    </xf>
    <xf numFmtId="0" fontId="0" fillId="0" borderId="0" xfId="0" applyAlignment="1">
      <alignment horizontal="left" vertical="top"/>
    </xf>
    <xf numFmtId="0" fontId="0" fillId="0" borderId="0" xfId="0" applyAlignment="1">
      <alignment horizontal="left" vertical="top" wrapText="1"/>
    </xf>
    <xf numFmtId="0" fontId="9" fillId="0" borderId="0" xfId="0" applyFont="1" applyAlignment="1">
      <alignment horizontal="left" vertical="top"/>
    </xf>
    <xf numFmtId="0" fontId="9" fillId="0" borderId="0" xfId="0" applyFont="1" applyAlignment="1">
      <alignment horizontal="left" vertical="top" wrapText="1"/>
    </xf>
    <xf numFmtId="0" fontId="5" fillId="7" borderId="4" xfId="0" applyFont="1" applyFill="1" applyBorder="1" applyAlignment="1">
      <alignment vertical="top" wrapText="1"/>
    </xf>
    <xf numFmtId="0" fontId="9" fillId="0" borderId="0" xfId="0" applyFont="1"/>
    <xf numFmtId="0" fontId="9" fillId="0" borderId="3" xfId="0" applyFont="1" applyBorder="1"/>
    <xf numFmtId="0" fontId="9" fillId="0" borderId="2" xfId="0" applyFont="1" applyBorder="1"/>
    <xf numFmtId="0" fontId="9" fillId="0" borderId="1" xfId="0" applyFont="1" applyBorder="1"/>
  </cellXfs>
  <cellStyles count="5">
    <cellStyle name="Hyperlink 2" xfId="2" xr:uid="{AD152691-63E4-456E-8A0C-28DC62EE2B3A}"/>
    <cellStyle name="Normal" xfId="0" builtinId="0"/>
    <cellStyle name="Normal 2" xfId="3" xr:uid="{3900CAF4-4866-44A2-834B-927A07AABCB6}"/>
    <cellStyle name="Normal 3" xfId="4" xr:uid="{7049CFFC-F00A-4234-B9F4-CD08491CBE3D}"/>
    <cellStyle name="Normal 4" xfId="1" xr:uid="{051B4425-A111-4E04-A881-8E604DC850D5}"/>
  </cellStyles>
  <dxfs count="0"/>
  <tableStyles count="0" defaultTableStyle="TableStyleMedium2" defaultPivotStyle="PivotStyleLight16"/>
  <colors>
    <mruColors>
      <color rgb="FFDCC97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Steve Poyer  | Tropical Health" id="{8DB60327-0A3B-41C8-B39E-60DAA8D1A636}" userId="S::steve@trophealth.com::d9aa2b46-98b6-4eb5-89bb-6e82ef6edbad" providerId="AD"/>
  <person displayName="Eleanore Sternberg | Tropical Health" id="{7580ACCE-6AD3-48D7-AB51-DB38FFF76C3C}" userId="S::Eleanore@trophealth.com::fc5c40e3-42bf-4d73-907d-c6feae9991a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24" dT="2025-10-14T15:10:00.15" personId="{7580ACCE-6AD3-48D7-AB51-DB38FFF76C3C}" id="{11959A5F-AED2-4115-B169-A4C4C8EBF4BD}">
    <text>The date of ITN distribution can be displayed if known at the time of programming so the assessor can compare the response with the planned date.</text>
  </threadedComment>
  <threadedComment ref="C126" dT="2025-12-18T09:30:21.15" personId="{8DB60327-0A3B-41C8-B39E-60DAA8D1A636}" id="{175A5919-A743-4230-B4EA-D0FCA69F5822}">
    <text>The location of ITN distribution can be displayed if known at the time of programming so the assessor can compare the response with the planned location.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39"/>
  <sheetViews>
    <sheetView tabSelected="1" zoomScaleNormal="100" workbookViewId="0">
      <pane xSplit="2" ySplit="1" topLeftCell="C2" activePane="bottomRight" state="frozen"/>
      <selection pane="topRight" activeCell="C1" sqref="C1"/>
      <selection pane="bottomLeft" activeCell="A2" sqref="A2"/>
      <selection pane="bottomRight"/>
    </sheetView>
  </sheetViews>
  <sheetFormatPr defaultColWidth="9.140625" defaultRowHeight="15"/>
  <cols>
    <col min="1" max="1" width="28.5703125" style="9" customWidth="1"/>
    <col min="2" max="2" width="25.28515625" style="9" customWidth="1"/>
    <col min="3" max="3" width="62.140625" style="9" customWidth="1"/>
    <col min="4" max="4" width="28.7109375" style="9" customWidth="1"/>
    <col min="5" max="5" width="14.7109375" style="9" customWidth="1"/>
    <col min="6" max="6" width="14.5703125" style="9" customWidth="1"/>
    <col min="7" max="7" width="15.140625" style="9" customWidth="1"/>
    <col min="8" max="8" width="24.85546875" style="9" customWidth="1"/>
    <col min="9" max="9" width="11" style="9" customWidth="1"/>
    <col min="10" max="10" width="13.5703125" style="9" bestFit="1" customWidth="1"/>
    <col min="11" max="11" width="11.28515625" style="9" bestFit="1" customWidth="1"/>
    <col min="12" max="12" width="32.7109375" style="9" customWidth="1"/>
    <col min="13" max="13" width="12.140625" style="9" bestFit="1" customWidth="1"/>
    <col min="14" max="14" width="39.5703125" style="9" customWidth="1"/>
    <col min="15" max="15" width="14.28515625" style="9" customWidth="1"/>
    <col min="16" max="16384" width="9.140625" style="9"/>
  </cols>
  <sheetData>
    <row r="1" spans="1:16" s="8" customFormat="1">
      <c r="A1" s="7" t="s">
        <v>7</v>
      </c>
      <c r="B1" s="7" t="s">
        <v>8</v>
      </c>
      <c r="C1" s="7" t="s">
        <v>9</v>
      </c>
      <c r="D1" s="7" t="s">
        <v>12</v>
      </c>
      <c r="E1" s="7" t="s">
        <v>10</v>
      </c>
      <c r="F1" s="7" t="s">
        <v>11</v>
      </c>
      <c r="G1" s="7" t="s">
        <v>13</v>
      </c>
      <c r="H1" s="7" t="s">
        <v>250</v>
      </c>
      <c r="I1" s="7" t="s">
        <v>14</v>
      </c>
      <c r="J1" s="7" t="s">
        <v>15</v>
      </c>
      <c r="K1" s="7" t="s">
        <v>16</v>
      </c>
      <c r="L1" s="7" t="s">
        <v>17</v>
      </c>
      <c r="M1" s="7" t="s">
        <v>18</v>
      </c>
      <c r="N1" s="7" t="s">
        <v>19</v>
      </c>
      <c r="O1" s="7" t="s">
        <v>100</v>
      </c>
      <c r="P1" s="7"/>
    </row>
    <row r="2" spans="1:16">
      <c r="A2" s="9" t="s">
        <v>21</v>
      </c>
      <c r="B2" s="9" t="s">
        <v>99</v>
      </c>
    </row>
    <row r="3" spans="1:16">
      <c r="A3" s="9" t="s">
        <v>6</v>
      </c>
      <c r="B3" s="9" t="s">
        <v>22</v>
      </c>
    </row>
    <row r="4" spans="1:16">
      <c r="A4" s="9" t="s">
        <v>23</v>
      </c>
      <c r="B4" s="9" t="s">
        <v>23</v>
      </c>
    </row>
    <row r="5" spans="1:16" s="11" customFormat="1" ht="45">
      <c r="A5" s="11" t="s">
        <v>25</v>
      </c>
      <c r="B5" s="11" t="s">
        <v>207</v>
      </c>
      <c r="C5" s="11" t="s">
        <v>324</v>
      </c>
    </row>
    <row r="6" spans="1:16">
      <c r="A6" s="9" t="s">
        <v>450</v>
      </c>
      <c r="B6" s="9" t="s">
        <v>451</v>
      </c>
      <c r="C6" s="9" t="s">
        <v>449</v>
      </c>
      <c r="I6" s="9" t="s">
        <v>103</v>
      </c>
    </row>
    <row r="8" spans="1:16" s="13" customFormat="1">
      <c r="A8" s="13" t="s">
        <v>52</v>
      </c>
      <c r="B8" s="13" t="s">
        <v>208</v>
      </c>
      <c r="C8" s="12" t="s">
        <v>209</v>
      </c>
    </row>
    <row r="9" spans="1:16">
      <c r="A9" s="9" t="s">
        <v>27</v>
      </c>
      <c r="B9" s="9" t="s">
        <v>178</v>
      </c>
      <c r="C9" s="9" t="s">
        <v>46</v>
      </c>
      <c r="I9" s="9" t="s">
        <v>103</v>
      </c>
    </row>
    <row r="10" spans="1:16" ht="30">
      <c r="A10" s="9" t="s">
        <v>28</v>
      </c>
      <c r="B10" s="9" t="s">
        <v>179</v>
      </c>
      <c r="C10" s="9" t="s">
        <v>47</v>
      </c>
      <c r="F10" s="18" t="s">
        <v>364</v>
      </c>
      <c r="I10" s="9" t="s">
        <v>103</v>
      </c>
    </row>
    <row r="11" spans="1:16" ht="30">
      <c r="A11" s="9" t="s">
        <v>38</v>
      </c>
      <c r="B11" s="9" t="s">
        <v>180</v>
      </c>
      <c r="C11" s="9" t="s">
        <v>48</v>
      </c>
      <c r="F11" s="18" t="s">
        <v>365</v>
      </c>
      <c r="I11" s="9" t="s">
        <v>103</v>
      </c>
    </row>
    <row r="12" spans="1:16" ht="30">
      <c r="A12" s="9" t="s">
        <v>42</v>
      </c>
      <c r="B12" s="9" t="s">
        <v>181</v>
      </c>
      <c r="C12" s="9" t="s">
        <v>210</v>
      </c>
      <c r="F12" s="18" t="s">
        <v>365</v>
      </c>
      <c r="I12" s="9" t="s">
        <v>103</v>
      </c>
    </row>
    <row r="13" spans="1:16" ht="45">
      <c r="A13" s="9" t="s">
        <v>26</v>
      </c>
      <c r="B13" s="9" t="s">
        <v>44</v>
      </c>
      <c r="C13" s="9" t="s">
        <v>45</v>
      </c>
      <c r="D13" s="9" t="s">
        <v>49</v>
      </c>
      <c r="I13" s="9" t="s">
        <v>103</v>
      </c>
    </row>
    <row r="14" spans="1:16" s="10" customFormat="1" ht="32.25" customHeight="1">
      <c r="A14" s="10" t="s">
        <v>24</v>
      </c>
      <c r="B14" s="10" t="s">
        <v>165</v>
      </c>
      <c r="N14" s="10" t="s">
        <v>438</v>
      </c>
    </row>
    <row r="15" spans="1:16" s="13" customFormat="1">
      <c r="A15" s="13" t="s">
        <v>52</v>
      </c>
      <c r="B15" s="13" t="s">
        <v>174</v>
      </c>
      <c r="C15" s="13" t="s">
        <v>78</v>
      </c>
      <c r="J15" s="13" t="s">
        <v>53</v>
      </c>
    </row>
    <row r="16" spans="1:16">
      <c r="A16" s="9" t="s">
        <v>54</v>
      </c>
      <c r="B16" s="9" t="s">
        <v>54</v>
      </c>
      <c r="C16" s="9" t="s">
        <v>55</v>
      </c>
    </row>
    <row r="17" spans="1:12">
      <c r="A17" s="9" t="s">
        <v>57</v>
      </c>
      <c r="B17" s="9" t="s">
        <v>183</v>
      </c>
      <c r="C17" s="9" t="s">
        <v>211</v>
      </c>
      <c r="I17" s="9" t="s">
        <v>103</v>
      </c>
      <c r="L17" s="20" t="s">
        <v>184</v>
      </c>
    </row>
    <row r="18" spans="1:12" s="14" customFormat="1">
      <c r="A18" s="14" t="s">
        <v>56</v>
      </c>
      <c r="B18" s="14" t="s">
        <v>174</v>
      </c>
    </row>
    <row r="19" spans="1:12" ht="30">
      <c r="A19" s="9" t="s">
        <v>73</v>
      </c>
      <c r="B19" s="9" t="s">
        <v>213</v>
      </c>
      <c r="C19" s="9" t="s">
        <v>251</v>
      </c>
      <c r="I19" s="9" t="s">
        <v>103</v>
      </c>
      <c r="L19" s="20"/>
    </row>
    <row r="20" spans="1:12" s="14" customFormat="1">
      <c r="A20" s="14" t="s">
        <v>56</v>
      </c>
      <c r="B20" s="14" t="s">
        <v>208</v>
      </c>
    </row>
    <row r="22" spans="1:12" s="13" customFormat="1">
      <c r="A22" s="13" t="s">
        <v>52</v>
      </c>
      <c r="B22" s="13" t="s">
        <v>166</v>
      </c>
      <c r="C22" s="12" t="s">
        <v>72</v>
      </c>
      <c r="J22" s="13" t="s">
        <v>182</v>
      </c>
      <c r="L22" s="13" t="s">
        <v>214</v>
      </c>
    </row>
    <row r="23" spans="1:12" ht="49.5" customHeight="1">
      <c r="A23" s="15" t="s">
        <v>73</v>
      </c>
      <c r="B23" s="15" t="s">
        <v>76</v>
      </c>
      <c r="C23" s="15" t="s">
        <v>353</v>
      </c>
      <c r="I23" s="9" t="s">
        <v>103</v>
      </c>
    </row>
    <row r="24" spans="1:12" ht="21" customHeight="1">
      <c r="A24" s="15" t="s">
        <v>73</v>
      </c>
      <c r="B24" s="15" t="s">
        <v>77</v>
      </c>
      <c r="C24" s="15" t="s">
        <v>212</v>
      </c>
      <c r="D24" s="15"/>
      <c r="I24" s="9" t="s">
        <v>103</v>
      </c>
      <c r="L24" s="9" t="s">
        <v>354</v>
      </c>
    </row>
    <row r="25" spans="1:12" s="11" customFormat="1" ht="75">
      <c r="A25" s="28" t="s">
        <v>25</v>
      </c>
      <c r="B25" s="28" t="s">
        <v>448</v>
      </c>
      <c r="C25" s="28" t="s">
        <v>355</v>
      </c>
      <c r="D25" s="28"/>
      <c r="L25" s="11" t="s">
        <v>356</v>
      </c>
    </row>
    <row r="26" spans="1:12" s="14" customFormat="1">
      <c r="A26" s="14" t="s">
        <v>56</v>
      </c>
      <c r="B26" s="14" t="s">
        <v>166</v>
      </c>
    </row>
    <row r="28" spans="1:12" s="13" customFormat="1">
      <c r="A28" s="13" t="s">
        <v>52</v>
      </c>
      <c r="B28" s="13" t="s">
        <v>173</v>
      </c>
      <c r="C28" s="13" t="s">
        <v>357</v>
      </c>
      <c r="L28" s="13" t="s">
        <v>246</v>
      </c>
    </row>
    <row r="29" spans="1:12" s="22" customFormat="1"/>
    <row r="30" spans="1:12" s="13" customFormat="1">
      <c r="A30" s="13" t="s">
        <v>52</v>
      </c>
      <c r="B30" s="13" t="s">
        <v>170</v>
      </c>
      <c r="C30" s="13" t="s">
        <v>101</v>
      </c>
    </row>
    <row r="31" spans="1:12">
      <c r="A31" s="9" t="s">
        <v>57</v>
      </c>
      <c r="B31" s="9" t="s">
        <v>58</v>
      </c>
      <c r="C31" s="9" t="s">
        <v>59</v>
      </c>
      <c r="I31" s="9" t="s">
        <v>103</v>
      </c>
    </row>
    <row r="32" spans="1:12">
      <c r="A32" s="9" t="s">
        <v>57</v>
      </c>
      <c r="B32" s="9" t="s">
        <v>61</v>
      </c>
      <c r="C32" s="9" t="s">
        <v>62</v>
      </c>
      <c r="D32" s="9" t="s">
        <v>325</v>
      </c>
      <c r="J32" s="9" t="s">
        <v>60</v>
      </c>
    </row>
    <row r="33" spans="1:14" ht="30">
      <c r="A33" s="9" t="s">
        <v>66</v>
      </c>
      <c r="B33" s="9" t="s">
        <v>65</v>
      </c>
      <c r="C33" s="9" t="s">
        <v>216</v>
      </c>
      <c r="I33" s="9" t="s">
        <v>103</v>
      </c>
    </row>
    <row r="34" spans="1:14">
      <c r="A34" s="9" t="s">
        <v>63</v>
      </c>
      <c r="B34" s="9" t="s">
        <v>215</v>
      </c>
      <c r="C34" s="9" t="s">
        <v>70</v>
      </c>
      <c r="I34" s="9" t="s">
        <v>103</v>
      </c>
      <c r="L34" s="9" t="s">
        <v>185</v>
      </c>
    </row>
    <row r="35" spans="1:14" ht="45">
      <c r="A35" s="9" t="s">
        <v>105</v>
      </c>
      <c r="B35" s="9" t="s">
        <v>345</v>
      </c>
      <c r="C35" s="9" t="s">
        <v>344</v>
      </c>
      <c r="D35" s="9" t="s">
        <v>343</v>
      </c>
      <c r="L35" s="9" t="s">
        <v>185</v>
      </c>
    </row>
    <row r="36" spans="1:14" ht="30">
      <c r="A36" s="9" t="s">
        <v>57</v>
      </c>
      <c r="B36" s="9" t="s">
        <v>64</v>
      </c>
      <c r="C36" s="9" t="s">
        <v>71</v>
      </c>
      <c r="I36" s="9" t="s">
        <v>103</v>
      </c>
      <c r="J36" s="9" t="s">
        <v>60</v>
      </c>
      <c r="L36" s="9" t="s">
        <v>346</v>
      </c>
    </row>
    <row r="37" spans="1:14" s="14" customFormat="1">
      <c r="A37" s="14" t="s">
        <v>56</v>
      </c>
      <c r="B37" s="14" t="s">
        <v>170</v>
      </c>
    </row>
    <row r="39" spans="1:14" s="13" customFormat="1">
      <c r="A39" s="13" t="s">
        <v>52</v>
      </c>
      <c r="B39" s="13" t="s">
        <v>217</v>
      </c>
      <c r="C39" s="13" t="s">
        <v>218</v>
      </c>
    </row>
    <row r="40" spans="1:14" s="11" customFormat="1" ht="90">
      <c r="A40" s="11" t="s">
        <v>25</v>
      </c>
      <c r="B40" s="11" t="s">
        <v>171</v>
      </c>
      <c r="C40" s="11" t="s">
        <v>277</v>
      </c>
      <c r="D40" s="21"/>
    </row>
    <row r="41" spans="1:14" s="17" customFormat="1">
      <c r="A41" s="17" t="s">
        <v>80</v>
      </c>
      <c r="B41" s="17" t="s">
        <v>81</v>
      </c>
      <c r="C41" s="17" t="s">
        <v>186</v>
      </c>
    </row>
    <row r="42" spans="1:14" s="10" customFormat="1">
      <c r="A42" s="10" t="s">
        <v>24</v>
      </c>
      <c r="B42" s="10" t="s">
        <v>252</v>
      </c>
      <c r="N42" s="10" t="s">
        <v>264</v>
      </c>
    </row>
    <row r="43" spans="1:14" ht="30">
      <c r="A43" s="9" t="s">
        <v>57</v>
      </c>
      <c r="B43" s="9" t="s">
        <v>8</v>
      </c>
      <c r="C43" s="9" t="s">
        <v>253</v>
      </c>
      <c r="I43" s="9" t="s">
        <v>103</v>
      </c>
    </row>
    <row r="44" spans="1:14" s="10" customFormat="1">
      <c r="A44" s="10" t="s">
        <v>24</v>
      </c>
      <c r="B44" s="10" t="s">
        <v>205</v>
      </c>
      <c r="N44" s="10" t="s">
        <v>168</v>
      </c>
    </row>
    <row r="45" spans="1:14" s="13" customFormat="1">
      <c r="A45" s="13" t="s">
        <v>52</v>
      </c>
      <c r="B45" s="13" t="s">
        <v>167</v>
      </c>
      <c r="C45" s="13" t="s">
        <v>148</v>
      </c>
    </row>
    <row r="46" spans="1:14" s="18" customFormat="1" ht="30">
      <c r="A46" s="18" t="s">
        <v>73</v>
      </c>
      <c r="B46" s="18" t="s">
        <v>439</v>
      </c>
      <c r="C46" s="18" t="s">
        <v>441</v>
      </c>
    </row>
    <row r="47" spans="1:14">
      <c r="A47" s="9" t="s">
        <v>83</v>
      </c>
      <c r="B47" s="9" t="s">
        <v>82</v>
      </c>
      <c r="C47" s="9" t="s">
        <v>219</v>
      </c>
      <c r="I47" s="9" t="s">
        <v>103</v>
      </c>
    </row>
    <row r="48" spans="1:14" ht="60">
      <c r="A48" s="9" t="s">
        <v>26</v>
      </c>
      <c r="B48" s="9" t="s">
        <v>88</v>
      </c>
      <c r="C48" s="9" t="s">
        <v>220</v>
      </c>
      <c r="D48" s="9" t="s">
        <v>249</v>
      </c>
      <c r="G48" s="9" t="s">
        <v>326</v>
      </c>
      <c r="H48" s="9" t="s">
        <v>87</v>
      </c>
      <c r="I48" s="9" t="s">
        <v>103</v>
      </c>
    </row>
    <row r="49" spans="1:14" ht="30">
      <c r="A49" s="15" t="s">
        <v>26</v>
      </c>
      <c r="B49" s="15" t="s">
        <v>89</v>
      </c>
      <c r="C49" s="15" t="s">
        <v>221</v>
      </c>
      <c r="D49" s="15"/>
      <c r="E49" s="15"/>
      <c r="F49" s="15"/>
      <c r="G49" s="15" t="s">
        <v>90</v>
      </c>
      <c r="H49" s="15" t="s">
        <v>91</v>
      </c>
      <c r="I49" s="15" t="s">
        <v>103</v>
      </c>
      <c r="J49" s="15"/>
      <c r="K49" s="15"/>
      <c r="L49" s="15" t="s">
        <v>92</v>
      </c>
    </row>
    <row r="50" spans="1:14" ht="45">
      <c r="A50" s="9" t="s">
        <v>73</v>
      </c>
      <c r="B50" s="9" t="s">
        <v>93</v>
      </c>
      <c r="C50" s="9" t="s">
        <v>265</v>
      </c>
      <c r="I50" s="9" t="s">
        <v>103</v>
      </c>
    </row>
    <row r="51" spans="1:14" s="14" customFormat="1">
      <c r="A51" s="14" t="s">
        <v>56</v>
      </c>
      <c r="B51" s="14" t="s">
        <v>167</v>
      </c>
    </row>
    <row r="52" spans="1:14" s="10" customFormat="1">
      <c r="A52" s="10" t="s">
        <v>24</v>
      </c>
      <c r="B52" s="10" t="s">
        <v>197</v>
      </c>
      <c r="N52" s="10" t="s">
        <v>327</v>
      </c>
    </row>
    <row r="53" spans="1:14" s="10" customFormat="1">
      <c r="A53" s="10" t="s">
        <v>24</v>
      </c>
      <c r="B53" s="10" t="s">
        <v>198</v>
      </c>
      <c r="N53" s="10" t="s">
        <v>328</v>
      </c>
    </row>
    <row r="54" spans="1:14" s="10" customFormat="1" ht="30">
      <c r="A54" s="10" t="s">
        <v>24</v>
      </c>
      <c r="B54" s="10" t="s">
        <v>199</v>
      </c>
      <c r="N54" s="10" t="s">
        <v>329</v>
      </c>
    </row>
    <row r="55" spans="1:14" s="10" customFormat="1" ht="30" customHeight="1">
      <c r="A55" s="10" t="s">
        <v>24</v>
      </c>
      <c r="B55" s="10" t="s">
        <v>200</v>
      </c>
      <c r="N55" s="10" t="s">
        <v>330</v>
      </c>
    </row>
    <row r="56" spans="1:14" s="17" customFormat="1">
      <c r="A56" s="17" t="s">
        <v>94</v>
      </c>
      <c r="B56" s="17" t="s">
        <v>81</v>
      </c>
    </row>
    <row r="57" spans="1:14" s="14" customFormat="1">
      <c r="A57" s="14" t="s">
        <v>56</v>
      </c>
      <c r="B57" s="14" t="s">
        <v>217</v>
      </c>
    </row>
    <row r="59" spans="1:14" s="13" customFormat="1">
      <c r="A59" s="13" t="s">
        <v>52</v>
      </c>
      <c r="B59" s="13" t="s">
        <v>172</v>
      </c>
      <c r="C59" s="13" t="s">
        <v>358</v>
      </c>
      <c r="J59" s="13" t="s">
        <v>53</v>
      </c>
    </row>
    <row r="60" spans="1:14" s="10" customFormat="1">
      <c r="A60" s="10" t="s">
        <v>24</v>
      </c>
      <c r="B60" s="10" t="s">
        <v>193</v>
      </c>
      <c r="N60" s="10" t="s">
        <v>201</v>
      </c>
    </row>
    <row r="61" spans="1:14" s="10" customFormat="1">
      <c r="A61" s="10" t="s">
        <v>24</v>
      </c>
      <c r="B61" s="10" t="s">
        <v>194</v>
      </c>
      <c r="N61" s="10" t="s">
        <v>202</v>
      </c>
    </row>
    <row r="62" spans="1:14" s="10" customFormat="1">
      <c r="A62" s="10" t="s">
        <v>24</v>
      </c>
      <c r="B62" s="10" t="s">
        <v>195</v>
      </c>
      <c r="N62" s="10" t="s">
        <v>203</v>
      </c>
    </row>
    <row r="63" spans="1:14" s="10" customFormat="1">
      <c r="A63" s="10" t="s">
        <v>24</v>
      </c>
      <c r="B63" s="10" t="s">
        <v>196</v>
      </c>
      <c r="N63" s="10" t="s">
        <v>204</v>
      </c>
    </row>
    <row r="64" spans="1:14" s="11" customFormat="1" ht="75">
      <c r="A64" s="11" t="s">
        <v>25</v>
      </c>
      <c r="B64" s="11" t="s">
        <v>95</v>
      </c>
      <c r="C64" s="11" t="s">
        <v>338</v>
      </c>
    </row>
    <row r="65" spans="1:14" s="11" customFormat="1">
      <c r="A65" s="11" t="s">
        <v>25</v>
      </c>
      <c r="B65" s="11" t="s">
        <v>96</v>
      </c>
      <c r="C65" s="11" t="s">
        <v>222</v>
      </c>
    </row>
    <row r="66" spans="1:14" s="11" customFormat="1">
      <c r="A66" s="11" t="s">
        <v>25</v>
      </c>
      <c r="B66" s="11" t="s">
        <v>97</v>
      </c>
      <c r="C66" s="11" t="s">
        <v>254</v>
      </c>
    </row>
    <row r="67" spans="1:14" s="11" customFormat="1">
      <c r="A67" s="11" t="s">
        <v>25</v>
      </c>
      <c r="B67" s="11" t="s">
        <v>98</v>
      </c>
      <c r="C67" s="11" t="s">
        <v>223</v>
      </c>
    </row>
    <row r="68" spans="1:14" s="14" customFormat="1">
      <c r="A68" s="14" t="s">
        <v>56</v>
      </c>
      <c r="B68" s="14" t="s">
        <v>172</v>
      </c>
    </row>
    <row r="70" spans="1:14" s="13" customFormat="1">
      <c r="A70" s="13" t="s">
        <v>52</v>
      </c>
      <c r="B70" s="13" t="s">
        <v>227</v>
      </c>
      <c r="C70" s="13" t="s">
        <v>228</v>
      </c>
    </row>
    <row r="71" spans="1:14" ht="120">
      <c r="A71" s="9" t="s">
        <v>105</v>
      </c>
      <c r="B71" s="9" t="s">
        <v>106</v>
      </c>
      <c r="C71" s="9" t="s">
        <v>278</v>
      </c>
      <c r="D71" s="18" t="s">
        <v>255</v>
      </c>
      <c r="I71" s="9" t="s">
        <v>103</v>
      </c>
    </row>
    <row r="72" spans="1:14" ht="31.5" customHeight="1">
      <c r="A72" s="9" t="s">
        <v>107</v>
      </c>
      <c r="B72" s="9" t="s">
        <v>110</v>
      </c>
      <c r="C72" s="9" t="s">
        <v>113</v>
      </c>
      <c r="D72" s="9" t="s">
        <v>112</v>
      </c>
      <c r="I72" s="9" t="s">
        <v>103</v>
      </c>
      <c r="L72" s="9" t="s">
        <v>464</v>
      </c>
    </row>
    <row r="73" spans="1:14">
      <c r="A73" s="9" t="s">
        <v>57</v>
      </c>
      <c r="B73" s="9" t="s">
        <v>111</v>
      </c>
      <c r="C73" s="9" t="s">
        <v>113</v>
      </c>
      <c r="D73" s="9" t="s">
        <v>117</v>
      </c>
      <c r="I73" s="9" t="s">
        <v>103</v>
      </c>
      <c r="L73" s="9" t="s">
        <v>465</v>
      </c>
    </row>
    <row r="75" spans="1:14" s="13" customFormat="1">
      <c r="A75" s="13" t="s">
        <v>52</v>
      </c>
      <c r="B75" s="13" t="s">
        <v>224</v>
      </c>
      <c r="C75" s="13" t="s">
        <v>225</v>
      </c>
      <c r="L75" s="13" t="s">
        <v>163</v>
      </c>
    </row>
    <row r="76" spans="1:14" ht="45">
      <c r="A76" s="9" t="s">
        <v>73</v>
      </c>
      <c r="B76" s="9" t="s">
        <v>120</v>
      </c>
      <c r="C76" s="9" t="s">
        <v>280</v>
      </c>
      <c r="I76" s="9" t="s">
        <v>103</v>
      </c>
    </row>
    <row r="77" spans="1:14" s="13" customFormat="1">
      <c r="A77" s="13" t="s">
        <v>52</v>
      </c>
      <c r="B77" s="13" t="s">
        <v>175</v>
      </c>
      <c r="C77" s="13" t="s">
        <v>147</v>
      </c>
      <c r="L77" s="13" t="s">
        <v>124</v>
      </c>
    </row>
    <row r="78" spans="1:14">
      <c r="A78" s="9" t="s">
        <v>73</v>
      </c>
      <c r="B78" s="9" t="s">
        <v>118</v>
      </c>
      <c r="C78" s="9" t="s">
        <v>119</v>
      </c>
      <c r="I78" s="9" t="s">
        <v>103</v>
      </c>
    </row>
    <row r="79" spans="1:14" ht="45">
      <c r="A79" s="9" t="s">
        <v>26</v>
      </c>
      <c r="B79" s="9" t="s">
        <v>121</v>
      </c>
      <c r="C79" s="9" t="s">
        <v>122</v>
      </c>
      <c r="D79" s="9" t="s">
        <v>123</v>
      </c>
      <c r="G79" s="9" t="s">
        <v>270</v>
      </c>
      <c r="H79" s="9" t="s">
        <v>271</v>
      </c>
      <c r="I79" s="9" t="s">
        <v>103</v>
      </c>
      <c r="L79" s="9" t="s">
        <v>226</v>
      </c>
    </row>
    <row r="80" spans="1:14" s="10" customFormat="1">
      <c r="A80" s="10" t="s">
        <v>24</v>
      </c>
      <c r="B80" s="10" t="s">
        <v>285</v>
      </c>
      <c r="L80" s="10" t="s">
        <v>226</v>
      </c>
      <c r="N80" s="16" t="s">
        <v>331</v>
      </c>
    </row>
    <row r="81" spans="1:14" s="14" customFormat="1">
      <c r="A81" s="14" t="s">
        <v>56</v>
      </c>
      <c r="B81" s="14" t="s">
        <v>175</v>
      </c>
    </row>
    <row r="82" spans="1:14" s="13" customFormat="1">
      <c r="A82" s="13" t="s">
        <v>52</v>
      </c>
      <c r="B82" s="13" t="s">
        <v>176</v>
      </c>
      <c r="C82" s="13" t="s">
        <v>146</v>
      </c>
      <c r="L82" s="13" t="s">
        <v>333</v>
      </c>
    </row>
    <row r="83" spans="1:14" ht="30">
      <c r="A83" s="9" t="s">
        <v>73</v>
      </c>
      <c r="B83" s="9" t="s">
        <v>125</v>
      </c>
      <c r="C83" s="9" t="s">
        <v>281</v>
      </c>
      <c r="I83" s="9" t="s">
        <v>103</v>
      </c>
    </row>
    <row r="84" spans="1:14" ht="45">
      <c r="A84" s="9" t="s">
        <v>26</v>
      </c>
      <c r="B84" s="9" t="s">
        <v>126</v>
      </c>
      <c r="C84" s="9" t="s">
        <v>128</v>
      </c>
      <c r="D84" s="9" t="s">
        <v>127</v>
      </c>
      <c r="G84" s="9" t="s">
        <v>270</v>
      </c>
      <c r="H84" s="9" t="s">
        <v>271</v>
      </c>
      <c r="I84" s="9" t="s">
        <v>103</v>
      </c>
      <c r="L84" s="9" t="s">
        <v>129</v>
      </c>
    </row>
    <row r="85" spans="1:14" s="10" customFormat="1">
      <c r="A85" s="10" t="s">
        <v>24</v>
      </c>
      <c r="B85" s="10" t="s">
        <v>286</v>
      </c>
      <c r="L85" s="10" t="s">
        <v>129</v>
      </c>
      <c r="N85" s="16" t="s">
        <v>332</v>
      </c>
    </row>
    <row r="86" spans="1:14" s="14" customFormat="1">
      <c r="A86" s="14" t="s">
        <v>56</v>
      </c>
      <c r="B86" s="14" t="s">
        <v>176</v>
      </c>
    </row>
    <row r="87" spans="1:14" s="13" customFormat="1">
      <c r="A87" s="13" t="s">
        <v>52</v>
      </c>
      <c r="B87" s="13" t="s">
        <v>177</v>
      </c>
      <c r="C87" s="13" t="s">
        <v>359</v>
      </c>
    </row>
    <row r="88" spans="1:14" s="13" customFormat="1">
      <c r="A88" s="13" t="s">
        <v>52</v>
      </c>
      <c r="B88" s="13" t="s">
        <v>187</v>
      </c>
      <c r="C88" s="13" t="s">
        <v>188</v>
      </c>
      <c r="J88" s="13" t="s">
        <v>182</v>
      </c>
    </row>
    <row r="89" spans="1:14" ht="66" customHeight="1">
      <c r="A89" s="9" t="s">
        <v>26</v>
      </c>
      <c r="B89" s="9" t="s">
        <v>130</v>
      </c>
      <c r="C89" s="9" t="s">
        <v>282</v>
      </c>
      <c r="G89" s="9" t="s">
        <v>261</v>
      </c>
      <c r="H89" s="9" t="s">
        <v>131</v>
      </c>
      <c r="I89" s="9" t="s">
        <v>103</v>
      </c>
    </row>
    <row r="90" spans="1:14" ht="81.75" customHeight="1">
      <c r="A90" s="9" t="s">
        <v>26</v>
      </c>
      <c r="B90" s="9" t="s">
        <v>134</v>
      </c>
      <c r="C90" s="9" t="s">
        <v>266</v>
      </c>
      <c r="G90" s="9" t="s">
        <v>256</v>
      </c>
      <c r="H90" s="9" t="s">
        <v>269</v>
      </c>
      <c r="I90" s="9" t="s">
        <v>103</v>
      </c>
    </row>
    <row r="91" spans="1:14" s="14" customFormat="1">
      <c r="A91" s="14" t="s">
        <v>56</v>
      </c>
      <c r="B91" s="14" t="s">
        <v>187</v>
      </c>
    </row>
    <row r="92" spans="1:14" s="13" customFormat="1">
      <c r="A92" s="13" t="s">
        <v>52</v>
      </c>
      <c r="B92" s="13" t="s">
        <v>190</v>
      </c>
      <c r="C92" s="13" t="s">
        <v>189</v>
      </c>
      <c r="J92" s="13" t="s">
        <v>182</v>
      </c>
    </row>
    <row r="93" spans="1:14" ht="64.5" customHeight="1">
      <c r="A93" s="9" t="s">
        <v>26</v>
      </c>
      <c r="B93" s="9" t="s">
        <v>132</v>
      </c>
      <c r="C93" s="9" t="s">
        <v>283</v>
      </c>
      <c r="G93" s="9" t="s">
        <v>261</v>
      </c>
      <c r="H93" s="9" t="s">
        <v>133</v>
      </c>
      <c r="I93" s="9" t="s">
        <v>103</v>
      </c>
    </row>
    <row r="94" spans="1:14" ht="81.75" customHeight="1">
      <c r="A94" s="9" t="s">
        <v>26</v>
      </c>
      <c r="B94" s="9" t="s">
        <v>135</v>
      </c>
      <c r="C94" s="9" t="s">
        <v>267</v>
      </c>
      <c r="G94" s="9" t="s">
        <v>257</v>
      </c>
      <c r="H94" s="9" t="s">
        <v>258</v>
      </c>
      <c r="I94" s="9" t="s">
        <v>103</v>
      </c>
    </row>
    <row r="95" spans="1:14" s="14" customFormat="1">
      <c r="A95" s="14" t="s">
        <v>56</v>
      </c>
      <c r="B95" s="14" t="s">
        <v>190</v>
      </c>
    </row>
    <row r="96" spans="1:14" s="13" customFormat="1">
      <c r="A96" s="13" t="s">
        <v>52</v>
      </c>
      <c r="B96" s="13" t="s">
        <v>191</v>
      </c>
      <c r="C96" s="13" t="s">
        <v>192</v>
      </c>
      <c r="J96" s="13" t="s">
        <v>182</v>
      </c>
    </row>
    <row r="97" spans="1:14" ht="65.25" customHeight="1">
      <c r="A97" s="9" t="s">
        <v>26</v>
      </c>
      <c r="B97" s="9" t="s">
        <v>136</v>
      </c>
      <c r="C97" s="9" t="s">
        <v>284</v>
      </c>
      <c r="G97" s="9" t="s">
        <v>261</v>
      </c>
      <c r="H97" s="9" t="s">
        <v>138</v>
      </c>
      <c r="I97" s="9" t="s">
        <v>103</v>
      </c>
    </row>
    <row r="98" spans="1:14" ht="75" customHeight="1">
      <c r="A98" s="9" t="s">
        <v>26</v>
      </c>
      <c r="B98" s="9" t="s">
        <v>137</v>
      </c>
      <c r="C98" s="9" t="s">
        <v>268</v>
      </c>
      <c r="G98" s="9" t="s">
        <v>259</v>
      </c>
      <c r="H98" s="9" t="s">
        <v>260</v>
      </c>
      <c r="I98" s="9" t="s">
        <v>103</v>
      </c>
    </row>
    <row r="99" spans="1:14" s="14" customFormat="1">
      <c r="A99" s="14" t="s">
        <v>56</v>
      </c>
      <c r="B99" s="14" t="s">
        <v>191</v>
      </c>
    </row>
    <row r="100" spans="1:14" s="10" customFormat="1" ht="30">
      <c r="A100" s="10" t="s">
        <v>24</v>
      </c>
      <c r="B100" s="10" t="s">
        <v>206</v>
      </c>
      <c r="N100" s="10" t="s">
        <v>139</v>
      </c>
    </row>
    <row r="101" spans="1:14" s="11" customFormat="1" ht="247.5" customHeight="1">
      <c r="A101" s="11" t="s">
        <v>25</v>
      </c>
      <c r="B101" s="11" t="s">
        <v>442</v>
      </c>
      <c r="C101" s="11" t="s">
        <v>339</v>
      </c>
      <c r="L101" s="11" t="s">
        <v>335</v>
      </c>
    </row>
    <row r="102" spans="1:14" s="11" customFormat="1" ht="248.25" customHeight="1">
      <c r="A102" s="11" t="s">
        <v>25</v>
      </c>
      <c r="B102" s="11" t="s">
        <v>443</v>
      </c>
      <c r="C102" s="11" t="s">
        <v>340</v>
      </c>
      <c r="L102" s="11" t="s">
        <v>336</v>
      </c>
    </row>
    <row r="103" spans="1:14" ht="120">
      <c r="A103" s="9" t="s">
        <v>73</v>
      </c>
      <c r="B103" s="9" t="s">
        <v>140</v>
      </c>
      <c r="C103" s="9" t="s">
        <v>334</v>
      </c>
      <c r="G103" s="9" t="s">
        <v>262</v>
      </c>
      <c r="H103" s="9" t="s">
        <v>141</v>
      </c>
      <c r="I103" s="9" t="s">
        <v>103</v>
      </c>
      <c r="L103" s="9" t="s">
        <v>337</v>
      </c>
    </row>
    <row r="104" spans="1:14" s="14" customFormat="1">
      <c r="A104" s="14" t="s">
        <v>56</v>
      </c>
      <c r="B104" s="14" t="s">
        <v>177</v>
      </c>
      <c r="N104" s="19"/>
    </row>
    <row r="105" spans="1:14" s="10" customFormat="1" ht="45">
      <c r="A105" s="10" t="s">
        <v>24</v>
      </c>
      <c r="B105" s="10" t="s">
        <v>288</v>
      </c>
      <c r="N105" s="16" t="s">
        <v>287</v>
      </c>
    </row>
    <row r="106" spans="1:14" s="10" customFormat="1" ht="30">
      <c r="A106" s="10" t="s">
        <v>24</v>
      </c>
      <c r="B106" s="10" t="s">
        <v>289</v>
      </c>
      <c r="N106" s="10" t="s">
        <v>290</v>
      </c>
    </row>
    <row r="107" spans="1:14" s="11" customFormat="1" ht="150">
      <c r="A107" s="11" t="s">
        <v>25</v>
      </c>
      <c r="B107" s="11" t="s">
        <v>444</v>
      </c>
      <c r="C107" s="11" t="s">
        <v>341</v>
      </c>
      <c r="L107" s="11" t="s">
        <v>291</v>
      </c>
    </row>
    <row r="108" spans="1:14" s="11" customFormat="1" ht="150">
      <c r="A108" s="11" t="s">
        <v>25</v>
      </c>
      <c r="B108" s="11" t="s">
        <v>445</v>
      </c>
      <c r="C108" s="11" t="s">
        <v>342</v>
      </c>
      <c r="L108" s="11" t="s">
        <v>292</v>
      </c>
    </row>
    <row r="110" spans="1:14" s="13" customFormat="1">
      <c r="A110" s="13" t="s">
        <v>52</v>
      </c>
      <c r="B110" s="13" t="s">
        <v>293</v>
      </c>
      <c r="C110" s="13" t="s">
        <v>294</v>
      </c>
      <c r="L110" s="13" t="s">
        <v>292</v>
      </c>
    </row>
    <row r="111" spans="1:14" ht="60">
      <c r="A111" s="9" t="s">
        <v>142</v>
      </c>
      <c r="B111" s="9" t="s">
        <v>143</v>
      </c>
      <c r="C111" s="9" t="s">
        <v>295</v>
      </c>
      <c r="I111" s="9" t="s">
        <v>103</v>
      </c>
    </row>
    <row r="112" spans="1:14" ht="30">
      <c r="A112" s="9" t="s">
        <v>57</v>
      </c>
      <c r="B112" s="9" t="s">
        <v>229</v>
      </c>
      <c r="C112" s="9" t="s">
        <v>296</v>
      </c>
      <c r="D112" s="9" t="s">
        <v>117</v>
      </c>
      <c r="I112" s="9" t="s">
        <v>103</v>
      </c>
      <c r="L112" s="9" t="s">
        <v>466</v>
      </c>
    </row>
    <row r="113" spans="1:12" ht="60">
      <c r="A113" s="9" t="s">
        <v>57</v>
      </c>
      <c r="B113" s="9" t="s">
        <v>145</v>
      </c>
      <c r="C113" s="9" t="s">
        <v>297</v>
      </c>
      <c r="I113" s="9" t="s">
        <v>103</v>
      </c>
    </row>
    <row r="114" spans="1:12" s="14" customFormat="1">
      <c r="A114" s="14" t="s">
        <v>56</v>
      </c>
      <c r="B114" s="14" t="s">
        <v>293</v>
      </c>
    </row>
    <row r="115" spans="1:12" s="14" customFormat="1">
      <c r="A115" s="14" t="s">
        <v>56</v>
      </c>
      <c r="B115" s="14" t="s">
        <v>224</v>
      </c>
    </row>
    <row r="116" spans="1:12" s="14" customFormat="1">
      <c r="A116" s="14" t="s">
        <v>56</v>
      </c>
      <c r="B116" s="14" t="s">
        <v>227</v>
      </c>
    </row>
    <row r="118" spans="1:12" s="13" customFormat="1">
      <c r="A118" s="13" t="s">
        <v>52</v>
      </c>
      <c r="B118" s="13" t="s">
        <v>303</v>
      </c>
      <c r="C118" s="13" t="s">
        <v>304</v>
      </c>
    </row>
    <row r="119" spans="1:12" ht="30">
      <c r="A119" s="9" t="s">
        <v>105</v>
      </c>
      <c r="B119" s="9" t="s">
        <v>152</v>
      </c>
      <c r="C119" s="9" t="s">
        <v>305</v>
      </c>
      <c r="I119" s="9" t="s">
        <v>103</v>
      </c>
    </row>
    <row r="120" spans="1:12" ht="56.25" customHeight="1">
      <c r="A120" s="9" t="s">
        <v>232</v>
      </c>
      <c r="B120" s="9" t="s">
        <v>233</v>
      </c>
      <c r="C120" s="9" t="s">
        <v>306</v>
      </c>
      <c r="D120" s="9" t="s">
        <v>234</v>
      </c>
      <c r="I120" s="9" t="s">
        <v>103</v>
      </c>
      <c r="J120" s="9" t="s">
        <v>263</v>
      </c>
      <c r="L120" s="9" t="s">
        <v>307</v>
      </c>
    </row>
    <row r="121" spans="1:12">
      <c r="A121" s="9" t="s">
        <v>57</v>
      </c>
      <c r="B121" s="9" t="s">
        <v>235</v>
      </c>
      <c r="C121" s="9" t="s">
        <v>236</v>
      </c>
      <c r="I121" s="9" t="s">
        <v>103</v>
      </c>
      <c r="L121" s="9" t="s">
        <v>237</v>
      </c>
    </row>
    <row r="122" spans="1:12" s="13" customFormat="1">
      <c r="A122" s="13" t="s">
        <v>52</v>
      </c>
      <c r="B122" s="13" t="s">
        <v>308</v>
      </c>
      <c r="C122" s="13" t="s">
        <v>360</v>
      </c>
      <c r="L122" s="13" t="s">
        <v>163</v>
      </c>
    </row>
    <row r="123" spans="1:12" ht="30">
      <c r="A123" s="9" t="s">
        <v>105</v>
      </c>
      <c r="B123" s="24" t="s">
        <v>309</v>
      </c>
      <c r="C123" s="25" t="s">
        <v>310</v>
      </c>
      <c r="I123" s="9" t="s">
        <v>103</v>
      </c>
    </row>
    <row r="124" spans="1:12" ht="60">
      <c r="A124" s="9" t="s">
        <v>73</v>
      </c>
      <c r="B124" s="9" t="s">
        <v>311</v>
      </c>
      <c r="C124" s="9" t="s">
        <v>312</v>
      </c>
      <c r="D124" s="23" t="s">
        <v>317</v>
      </c>
      <c r="I124" s="9" t="s">
        <v>103</v>
      </c>
      <c r="L124" s="9" t="s">
        <v>322</v>
      </c>
    </row>
    <row r="125" spans="1:12" s="18" customFormat="1" ht="30">
      <c r="A125" s="18" t="s">
        <v>105</v>
      </c>
      <c r="B125" s="26" t="s">
        <v>313</v>
      </c>
      <c r="C125" s="27" t="s">
        <v>315</v>
      </c>
    </row>
    <row r="126" spans="1:12" ht="60">
      <c r="A126" s="9" t="s">
        <v>73</v>
      </c>
      <c r="B126" s="9" t="s">
        <v>314</v>
      </c>
      <c r="C126" s="9" t="s">
        <v>316</v>
      </c>
      <c r="D126" s="23" t="s">
        <v>317</v>
      </c>
      <c r="L126" s="9" t="s">
        <v>323</v>
      </c>
    </row>
    <row r="127" spans="1:12" ht="30">
      <c r="A127" s="9" t="s">
        <v>105</v>
      </c>
      <c r="B127" s="9" t="s">
        <v>319</v>
      </c>
      <c r="C127" s="9" t="s">
        <v>318</v>
      </c>
      <c r="I127" s="9" t="s">
        <v>103</v>
      </c>
    </row>
    <row r="128" spans="1:12" ht="30">
      <c r="A128" s="9" t="s">
        <v>242</v>
      </c>
      <c r="B128" s="9" t="s">
        <v>240</v>
      </c>
      <c r="C128" s="9" t="s">
        <v>320</v>
      </c>
      <c r="D128" s="9" t="s">
        <v>234</v>
      </c>
      <c r="I128" s="9" t="s">
        <v>103</v>
      </c>
      <c r="J128" s="9" t="s">
        <v>263</v>
      </c>
      <c r="L128" s="9" t="s">
        <v>321</v>
      </c>
    </row>
    <row r="129" spans="1:14">
      <c r="A129" s="9" t="s">
        <v>57</v>
      </c>
      <c r="B129" s="9" t="s">
        <v>241</v>
      </c>
      <c r="C129" s="9" t="s">
        <v>245</v>
      </c>
      <c r="I129" s="9" t="s">
        <v>103</v>
      </c>
      <c r="L129" s="9" t="s">
        <v>244</v>
      </c>
    </row>
    <row r="130" spans="1:14" s="14" customFormat="1">
      <c r="A130" s="14" t="s">
        <v>56</v>
      </c>
      <c r="B130" s="14" t="s">
        <v>308</v>
      </c>
    </row>
    <row r="131" spans="1:14" s="14" customFormat="1">
      <c r="A131" s="14" t="s">
        <v>56</v>
      </c>
      <c r="B131" s="14" t="s">
        <v>303</v>
      </c>
    </row>
    <row r="133" spans="1:14" s="14" customFormat="1">
      <c r="A133" s="14" t="s">
        <v>56</v>
      </c>
      <c r="B133" s="14" t="s">
        <v>173</v>
      </c>
    </row>
    <row r="135" spans="1:14" ht="30">
      <c r="A135" s="9" t="s">
        <v>24</v>
      </c>
      <c r="B135" s="9" t="s">
        <v>348</v>
      </c>
      <c r="N135" s="15" t="s">
        <v>349</v>
      </c>
    </row>
    <row r="136" spans="1:14" s="11" customFormat="1" ht="60">
      <c r="A136" s="11" t="s">
        <v>25</v>
      </c>
      <c r="B136" s="11" t="s">
        <v>446</v>
      </c>
      <c r="C136" s="11" t="s">
        <v>361</v>
      </c>
      <c r="L136" s="11" t="s">
        <v>350</v>
      </c>
    </row>
    <row r="137" spans="1:14" s="11" customFormat="1" ht="75">
      <c r="A137" s="11" t="s">
        <v>25</v>
      </c>
      <c r="B137" s="11" t="s">
        <v>447</v>
      </c>
      <c r="C137" s="11" t="s">
        <v>362</v>
      </c>
      <c r="L137" s="11" t="s">
        <v>351</v>
      </c>
    </row>
    <row r="138" spans="1:14" s="11" customFormat="1" ht="30">
      <c r="A138" s="11" t="s">
        <v>25</v>
      </c>
      <c r="B138" s="11" t="s">
        <v>79</v>
      </c>
      <c r="C138" s="11" t="s">
        <v>363</v>
      </c>
      <c r="L138" s="11" t="s">
        <v>352</v>
      </c>
    </row>
    <row r="139" spans="1:14">
      <c r="A139" s="9" t="s">
        <v>57</v>
      </c>
      <c r="B139" s="9" t="s">
        <v>162</v>
      </c>
      <c r="C139" s="9" t="s">
        <v>164</v>
      </c>
    </row>
  </sheetData>
  <autoFilter ref="A1:O139" xr:uid="{00000000-0001-0000-0000-000000000000}"/>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70DA3-0CEC-4E3A-B498-480DF076D7C0}">
  <dimension ref="A1:E138"/>
  <sheetViews>
    <sheetView workbookViewId="0">
      <pane ySplit="1" topLeftCell="A77" activePane="bottomLeft" state="frozen"/>
      <selection pane="bottomLeft" activeCell="C77" sqref="C77"/>
    </sheetView>
  </sheetViews>
  <sheetFormatPr defaultRowHeight="15"/>
  <cols>
    <col min="1" max="1" width="17.28515625" bestFit="1" customWidth="1"/>
    <col min="3" max="3" width="61.85546875" bestFit="1" customWidth="1"/>
  </cols>
  <sheetData>
    <row r="1" spans="1:5" s="5" customFormat="1">
      <c r="A1" s="4" t="s">
        <v>20</v>
      </c>
      <c r="B1" s="4" t="s">
        <v>8</v>
      </c>
      <c r="C1" s="4" t="s">
        <v>9</v>
      </c>
      <c r="D1" s="31" t="s">
        <v>178</v>
      </c>
      <c r="E1" s="31" t="s">
        <v>179</v>
      </c>
    </row>
    <row r="2" spans="1:5">
      <c r="A2" t="s">
        <v>149</v>
      </c>
      <c r="B2">
        <v>1</v>
      </c>
      <c r="C2" t="s">
        <v>151</v>
      </c>
    </row>
    <row r="3" spans="1:5">
      <c r="A3" t="s">
        <v>149</v>
      </c>
      <c r="B3">
        <v>2</v>
      </c>
      <c r="C3" t="s">
        <v>230</v>
      </c>
    </row>
    <row r="4" spans="1:5">
      <c r="A4" t="s">
        <v>149</v>
      </c>
      <c r="B4">
        <v>3</v>
      </c>
      <c r="C4" t="s">
        <v>231</v>
      </c>
    </row>
    <row r="5" spans="1:5" s="6" customFormat="1">
      <c r="A5" s="6" t="s">
        <v>149</v>
      </c>
      <c r="B5" s="6">
        <v>0</v>
      </c>
      <c r="C5" s="6" t="s">
        <v>150</v>
      </c>
    </row>
    <row r="6" spans="1:5">
      <c r="A6" t="s">
        <v>238</v>
      </c>
      <c r="B6">
        <v>1</v>
      </c>
      <c r="C6" t="s">
        <v>153</v>
      </c>
    </row>
    <row r="7" spans="1:5">
      <c r="A7" t="s">
        <v>238</v>
      </c>
      <c r="B7">
        <v>2</v>
      </c>
      <c r="C7" t="s">
        <v>347</v>
      </c>
    </row>
    <row r="8" spans="1:5">
      <c r="A8" t="s">
        <v>238</v>
      </c>
      <c r="B8">
        <v>3</v>
      </c>
      <c r="C8" t="s">
        <v>154</v>
      </c>
    </row>
    <row r="9" spans="1:5">
      <c r="A9" t="s">
        <v>238</v>
      </c>
      <c r="B9">
        <v>4</v>
      </c>
      <c r="C9" t="s">
        <v>155</v>
      </c>
    </row>
    <row r="10" spans="1:5">
      <c r="A10" t="s">
        <v>238</v>
      </c>
      <c r="B10">
        <v>5</v>
      </c>
      <c r="C10" t="s">
        <v>156</v>
      </c>
    </row>
    <row r="11" spans="1:5">
      <c r="A11" t="s">
        <v>238</v>
      </c>
      <c r="B11">
        <v>6</v>
      </c>
      <c r="C11" t="s">
        <v>157</v>
      </c>
    </row>
    <row r="12" spans="1:5">
      <c r="A12" t="s">
        <v>238</v>
      </c>
      <c r="B12">
        <v>7</v>
      </c>
      <c r="C12" t="s">
        <v>158</v>
      </c>
    </row>
    <row r="13" spans="1:5">
      <c r="A13" t="s">
        <v>238</v>
      </c>
      <c r="B13">
        <v>8</v>
      </c>
      <c r="C13" t="s">
        <v>159</v>
      </c>
    </row>
    <row r="14" spans="1:5">
      <c r="A14" t="s">
        <v>238</v>
      </c>
      <c r="B14">
        <v>9</v>
      </c>
      <c r="C14" t="s">
        <v>239</v>
      </c>
    </row>
    <row r="15" spans="1:5" s="6" customFormat="1">
      <c r="A15" s="6" t="s">
        <v>238</v>
      </c>
      <c r="B15" s="6">
        <v>96</v>
      </c>
      <c r="C15" s="6" t="s">
        <v>109</v>
      </c>
    </row>
    <row r="16" spans="1:5" s="29" customFormat="1">
      <c r="A16" s="29" t="s">
        <v>43</v>
      </c>
      <c r="B16" s="29">
        <v>101</v>
      </c>
      <c r="C16" s="29" t="s">
        <v>366</v>
      </c>
      <c r="E16" s="29">
        <v>1</v>
      </c>
    </row>
    <row r="17" spans="1:5" s="29" customFormat="1">
      <c r="A17" s="29" t="s">
        <v>43</v>
      </c>
      <c r="B17" s="29">
        <v>102</v>
      </c>
      <c r="C17" s="29" t="s">
        <v>367</v>
      </c>
      <c r="E17" s="29">
        <v>1</v>
      </c>
    </row>
    <row r="18" spans="1:5" s="29" customFormat="1">
      <c r="A18" s="29" t="s">
        <v>43</v>
      </c>
      <c r="B18" s="29">
        <v>103</v>
      </c>
      <c r="C18" s="29" t="s">
        <v>368</v>
      </c>
      <c r="E18" s="29">
        <v>1</v>
      </c>
    </row>
    <row r="19" spans="1:5" s="29" customFormat="1">
      <c r="A19" s="29" t="s">
        <v>43</v>
      </c>
      <c r="B19" s="29">
        <v>104</v>
      </c>
      <c r="C19" s="29" t="s">
        <v>369</v>
      </c>
      <c r="E19" s="29">
        <v>1</v>
      </c>
    </row>
    <row r="20" spans="1:5" s="29" customFormat="1">
      <c r="A20" s="29" t="s">
        <v>43</v>
      </c>
      <c r="B20" s="29">
        <v>105</v>
      </c>
      <c r="C20" s="29" t="s">
        <v>370</v>
      </c>
      <c r="E20" s="29">
        <v>1</v>
      </c>
    </row>
    <row r="21" spans="1:5" s="29" customFormat="1">
      <c r="A21" s="29" t="s">
        <v>43</v>
      </c>
      <c r="B21" s="29">
        <v>106</v>
      </c>
      <c r="C21" s="29" t="s">
        <v>371</v>
      </c>
      <c r="E21" s="29">
        <v>1</v>
      </c>
    </row>
    <row r="22" spans="1:5" s="29" customFormat="1">
      <c r="A22" s="29" t="s">
        <v>43</v>
      </c>
      <c r="B22" s="29">
        <v>201</v>
      </c>
      <c r="C22" s="29" t="s">
        <v>372</v>
      </c>
      <c r="E22" s="29">
        <v>2</v>
      </c>
    </row>
    <row r="23" spans="1:5" s="29" customFormat="1">
      <c r="A23" s="29" t="s">
        <v>43</v>
      </c>
      <c r="B23" s="29">
        <v>202</v>
      </c>
      <c r="C23" s="29" t="s">
        <v>373</v>
      </c>
      <c r="E23" s="29">
        <v>2</v>
      </c>
    </row>
    <row r="24" spans="1:5" s="29" customFormat="1">
      <c r="A24" s="29" t="s">
        <v>43</v>
      </c>
      <c r="B24" s="29">
        <v>203</v>
      </c>
      <c r="C24" s="29" t="s">
        <v>374</v>
      </c>
      <c r="E24" s="29">
        <v>2</v>
      </c>
    </row>
    <row r="25" spans="1:5" s="29" customFormat="1">
      <c r="A25" s="29" t="s">
        <v>43</v>
      </c>
      <c r="B25" s="29">
        <v>204</v>
      </c>
      <c r="C25" s="29" t="s">
        <v>375</v>
      </c>
      <c r="E25" s="29">
        <v>2</v>
      </c>
    </row>
    <row r="26" spans="1:5" s="29" customFormat="1">
      <c r="A26" s="29" t="s">
        <v>43</v>
      </c>
      <c r="B26" s="29">
        <v>205</v>
      </c>
      <c r="C26" s="29" t="s">
        <v>376</v>
      </c>
      <c r="E26" s="29">
        <v>2</v>
      </c>
    </row>
    <row r="27" spans="1:5" s="29" customFormat="1">
      <c r="A27" s="29" t="s">
        <v>43</v>
      </c>
      <c r="B27" s="29">
        <v>206</v>
      </c>
      <c r="C27" s="29" t="s">
        <v>377</v>
      </c>
      <c r="E27" s="29">
        <v>2</v>
      </c>
    </row>
    <row r="28" spans="1:5" s="29" customFormat="1">
      <c r="A28" s="29" t="s">
        <v>43</v>
      </c>
      <c r="B28" s="29">
        <v>301</v>
      </c>
      <c r="C28" s="29" t="s">
        <v>378</v>
      </c>
      <c r="E28" s="29">
        <v>3</v>
      </c>
    </row>
    <row r="29" spans="1:5" s="29" customFormat="1">
      <c r="A29" s="29" t="s">
        <v>43</v>
      </c>
      <c r="B29" s="29">
        <v>302</v>
      </c>
      <c r="C29" s="29" t="s">
        <v>379</v>
      </c>
      <c r="E29" s="29">
        <v>3</v>
      </c>
    </row>
    <row r="30" spans="1:5" s="29" customFormat="1">
      <c r="A30" s="29" t="s">
        <v>43</v>
      </c>
      <c r="B30" s="29">
        <v>303</v>
      </c>
      <c r="C30" s="29" t="s">
        <v>380</v>
      </c>
      <c r="E30" s="29">
        <v>3</v>
      </c>
    </row>
    <row r="31" spans="1:5" s="29" customFormat="1">
      <c r="A31" s="29" t="s">
        <v>43</v>
      </c>
      <c r="B31" s="29">
        <v>304</v>
      </c>
      <c r="C31" s="29" t="s">
        <v>381</v>
      </c>
      <c r="E31" s="29">
        <v>3</v>
      </c>
    </row>
    <row r="32" spans="1:5" s="29" customFormat="1">
      <c r="A32" s="29" t="s">
        <v>43</v>
      </c>
      <c r="B32" s="29">
        <v>305</v>
      </c>
      <c r="C32" s="29" t="s">
        <v>382</v>
      </c>
      <c r="E32" s="29">
        <v>3</v>
      </c>
    </row>
    <row r="33" spans="1:5" s="29" customFormat="1">
      <c r="A33" s="29" t="s">
        <v>43</v>
      </c>
      <c r="B33" s="29">
        <v>306</v>
      </c>
      <c r="C33" s="29" t="s">
        <v>383</v>
      </c>
      <c r="E33" s="29">
        <v>3</v>
      </c>
    </row>
    <row r="34" spans="1:5" s="29" customFormat="1">
      <c r="A34" s="29" t="s">
        <v>43</v>
      </c>
      <c r="B34" s="29">
        <v>401</v>
      </c>
      <c r="C34" s="29" t="s">
        <v>384</v>
      </c>
      <c r="E34" s="29">
        <v>4</v>
      </c>
    </row>
    <row r="35" spans="1:5" s="29" customFormat="1">
      <c r="A35" s="29" t="s">
        <v>43</v>
      </c>
      <c r="B35" s="29">
        <v>402</v>
      </c>
      <c r="C35" s="29" t="s">
        <v>385</v>
      </c>
      <c r="E35" s="29">
        <v>4</v>
      </c>
    </row>
    <row r="36" spans="1:5" s="29" customFormat="1">
      <c r="A36" s="29" t="s">
        <v>43</v>
      </c>
      <c r="B36" s="29">
        <v>403</v>
      </c>
      <c r="C36" s="29" t="s">
        <v>386</v>
      </c>
      <c r="E36" s="29">
        <v>4</v>
      </c>
    </row>
    <row r="37" spans="1:5" s="29" customFormat="1">
      <c r="A37" s="29" t="s">
        <v>43</v>
      </c>
      <c r="B37" s="29">
        <v>404</v>
      </c>
      <c r="C37" s="29" t="s">
        <v>387</v>
      </c>
      <c r="E37" s="29">
        <v>4</v>
      </c>
    </row>
    <row r="38" spans="1:5" s="29" customFormat="1">
      <c r="A38" s="29" t="s">
        <v>43</v>
      </c>
      <c r="B38" s="29">
        <v>405</v>
      </c>
      <c r="C38" s="29" t="s">
        <v>388</v>
      </c>
      <c r="E38" s="29">
        <v>4</v>
      </c>
    </row>
    <row r="39" spans="1:5" s="29" customFormat="1">
      <c r="A39" s="29" t="s">
        <v>43</v>
      </c>
      <c r="B39" s="29">
        <v>406</v>
      </c>
      <c r="C39" s="29" t="s">
        <v>389</v>
      </c>
      <c r="E39" s="29">
        <v>4</v>
      </c>
    </row>
    <row r="40" spans="1:5" s="29" customFormat="1">
      <c r="A40" s="29" t="s">
        <v>43</v>
      </c>
      <c r="B40" s="29">
        <v>501</v>
      </c>
      <c r="C40" s="29" t="s">
        <v>390</v>
      </c>
      <c r="E40" s="29">
        <v>5</v>
      </c>
    </row>
    <row r="41" spans="1:5" s="29" customFormat="1">
      <c r="A41" s="29" t="s">
        <v>43</v>
      </c>
      <c r="B41" s="29">
        <v>502</v>
      </c>
      <c r="C41" s="29" t="s">
        <v>391</v>
      </c>
      <c r="E41" s="29">
        <v>5</v>
      </c>
    </row>
    <row r="42" spans="1:5" s="29" customFormat="1">
      <c r="A42" s="29" t="s">
        <v>43</v>
      </c>
      <c r="B42" s="29">
        <v>503</v>
      </c>
      <c r="C42" s="29" t="s">
        <v>392</v>
      </c>
      <c r="E42" s="29">
        <v>5</v>
      </c>
    </row>
    <row r="43" spans="1:5" s="29" customFormat="1">
      <c r="A43" s="29" t="s">
        <v>43</v>
      </c>
      <c r="B43" s="29">
        <v>504</v>
      </c>
      <c r="C43" s="29" t="s">
        <v>393</v>
      </c>
      <c r="E43" s="29">
        <v>5</v>
      </c>
    </row>
    <row r="44" spans="1:5" s="29" customFormat="1">
      <c r="A44" s="29" t="s">
        <v>43</v>
      </c>
      <c r="B44" s="29">
        <v>505</v>
      </c>
      <c r="C44" s="29" t="s">
        <v>394</v>
      </c>
      <c r="E44" s="29">
        <v>5</v>
      </c>
    </row>
    <row r="45" spans="1:5" s="29" customFormat="1">
      <c r="A45" s="29" t="s">
        <v>43</v>
      </c>
      <c r="B45" s="29">
        <v>506</v>
      </c>
      <c r="C45" s="29" t="s">
        <v>395</v>
      </c>
      <c r="E45" s="29">
        <v>5</v>
      </c>
    </row>
    <row r="46" spans="1:5" s="29" customFormat="1">
      <c r="A46" s="29" t="s">
        <v>43</v>
      </c>
      <c r="B46" s="29">
        <v>601</v>
      </c>
      <c r="C46" s="29" t="s">
        <v>396</v>
      </c>
      <c r="E46" s="29">
        <v>6</v>
      </c>
    </row>
    <row r="47" spans="1:5" s="29" customFormat="1">
      <c r="A47" s="29" t="s">
        <v>43</v>
      </c>
      <c r="B47" s="29">
        <v>602</v>
      </c>
      <c r="C47" s="29" t="s">
        <v>397</v>
      </c>
      <c r="E47" s="29">
        <v>6</v>
      </c>
    </row>
    <row r="48" spans="1:5" s="29" customFormat="1">
      <c r="A48" s="29" t="s">
        <v>43</v>
      </c>
      <c r="B48" s="29">
        <v>603</v>
      </c>
      <c r="C48" s="29" t="s">
        <v>398</v>
      </c>
      <c r="E48" s="29">
        <v>6</v>
      </c>
    </row>
    <row r="49" spans="1:5" s="29" customFormat="1">
      <c r="A49" s="29" t="s">
        <v>43</v>
      </c>
      <c r="B49" s="29">
        <v>604</v>
      </c>
      <c r="C49" s="29" t="s">
        <v>399</v>
      </c>
      <c r="E49" s="29">
        <v>6</v>
      </c>
    </row>
    <row r="50" spans="1:5" s="29" customFormat="1">
      <c r="A50" s="29" t="s">
        <v>43</v>
      </c>
      <c r="B50" s="29">
        <v>605</v>
      </c>
      <c r="C50" s="29" t="s">
        <v>400</v>
      </c>
      <c r="E50" s="29">
        <v>6</v>
      </c>
    </row>
    <row r="51" spans="1:5" s="29" customFormat="1">
      <c r="A51" s="29" t="s">
        <v>43</v>
      </c>
      <c r="B51" s="29">
        <v>606</v>
      </c>
      <c r="C51" s="29" t="s">
        <v>401</v>
      </c>
      <c r="E51" s="29">
        <v>6</v>
      </c>
    </row>
    <row r="52" spans="1:5" s="29" customFormat="1">
      <c r="A52" s="29" t="s">
        <v>43</v>
      </c>
      <c r="B52" s="29">
        <v>701</v>
      </c>
      <c r="C52" s="29" t="s">
        <v>402</v>
      </c>
      <c r="E52" s="29">
        <v>7</v>
      </c>
    </row>
    <row r="53" spans="1:5" s="29" customFormat="1">
      <c r="A53" s="29" t="s">
        <v>43</v>
      </c>
      <c r="B53" s="29">
        <v>702</v>
      </c>
      <c r="C53" s="29" t="s">
        <v>403</v>
      </c>
      <c r="E53" s="29">
        <v>7</v>
      </c>
    </row>
    <row r="54" spans="1:5" s="29" customFormat="1">
      <c r="A54" s="29" t="s">
        <v>43</v>
      </c>
      <c r="B54" s="29">
        <v>703</v>
      </c>
      <c r="C54" s="29" t="s">
        <v>404</v>
      </c>
      <c r="E54" s="29">
        <v>7</v>
      </c>
    </row>
    <row r="55" spans="1:5" s="29" customFormat="1">
      <c r="A55" s="29" t="s">
        <v>43</v>
      </c>
      <c r="B55" s="29">
        <v>704</v>
      </c>
      <c r="C55" s="29" t="s">
        <v>405</v>
      </c>
      <c r="E55" s="29">
        <v>7</v>
      </c>
    </row>
    <row r="56" spans="1:5" s="29" customFormat="1">
      <c r="A56" s="29" t="s">
        <v>43</v>
      </c>
      <c r="B56" s="29">
        <v>705</v>
      </c>
      <c r="C56" s="29" t="s">
        <v>406</v>
      </c>
      <c r="E56" s="29">
        <v>7</v>
      </c>
    </row>
    <row r="57" spans="1:5" s="29" customFormat="1">
      <c r="A57" s="29" t="s">
        <v>43</v>
      </c>
      <c r="B57" s="29">
        <v>706</v>
      </c>
      <c r="C57" s="29" t="s">
        <v>407</v>
      </c>
      <c r="E57" s="29">
        <v>7</v>
      </c>
    </row>
    <row r="58" spans="1:5" s="29" customFormat="1">
      <c r="A58" s="29" t="s">
        <v>43</v>
      </c>
      <c r="B58" s="29">
        <v>801</v>
      </c>
      <c r="C58" s="29" t="s">
        <v>408</v>
      </c>
      <c r="E58" s="29">
        <v>8</v>
      </c>
    </row>
    <row r="59" spans="1:5" s="29" customFormat="1">
      <c r="A59" s="29" t="s">
        <v>43</v>
      </c>
      <c r="B59" s="29">
        <v>802</v>
      </c>
      <c r="C59" s="29" t="s">
        <v>409</v>
      </c>
      <c r="E59" s="29">
        <v>8</v>
      </c>
    </row>
    <row r="60" spans="1:5" s="29" customFormat="1">
      <c r="A60" s="29" t="s">
        <v>43</v>
      </c>
      <c r="B60" s="29">
        <v>803</v>
      </c>
      <c r="C60" s="29" t="s">
        <v>410</v>
      </c>
      <c r="E60" s="29">
        <v>8</v>
      </c>
    </row>
    <row r="61" spans="1:5" s="29" customFormat="1">
      <c r="A61" s="29" t="s">
        <v>43</v>
      </c>
      <c r="B61" s="29">
        <v>804</v>
      </c>
      <c r="C61" s="29" t="s">
        <v>411</v>
      </c>
      <c r="E61" s="29">
        <v>8</v>
      </c>
    </row>
    <row r="62" spans="1:5" s="29" customFormat="1">
      <c r="A62" s="29" t="s">
        <v>43</v>
      </c>
      <c r="B62" s="29">
        <v>805</v>
      </c>
      <c r="C62" s="29" t="s">
        <v>412</v>
      </c>
      <c r="E62" s="29">
        <v>8</v>
      </c>
    </row>
    <row r="63" spans="1:5" s="29" customFormat="1">
      <c r="A63" s="29" t="s">
        <v>43</v>
      </c>
      <c r="B63" s="29">
        <v>806</v>
      </c>
      <c r="C63" s="29" t="s">
        <v>413</v>
      </c>
      <c r="E63" s="29">
        <v>8</v>
      </c>
    </row>
    <row r="64" spans="1:5" s="29" customFormat="1">
      <c r="A64" s="29" t="s">
        <v>43</v>
      </c>
      <c r="B64" s="29">
        <v>901</v>
      </c>
      <c r="C64" s="29" t="s">
        <v>414</v>
      </c>
      <c r="E64" s="29">
        <v>9</v>
      </c>
    </row>
    <row r="65" spans="1:5" s="29" customFormat="1">
      <c r="A65" s="29" t="s">
        <v>43</v>
      </c>
      <c r="B65" s="29">
        <v>902</v>
      </c>
      <c r="C65" s="29" t="s">
        <v>415</v>
      </c>
      <c r="E65" s="29">
        <v>9</v>
      </c>
    </row>
    <row r="66" spans="1:5" s="29" customFormat="1">
      <c r="A66" s="29" t="s">
        <v>43</v>
      </c>
      <c r="B66" s="29">
        <v>903</v>
      </c>
      <c r="C66" s="29" t="s">
        <v>416</v>
      </c>
      <c r="E66" s="29">
        <v>9</v>
      </c>
    </row>
    <row r="67" spans="1:5" s="29" customFormat="1">
      <c r="A67" s="29" t="s">
        <v>43</v>
      </c>
      <c r="B67" s="29">
        <v>904</v>
      </c>
      <c r="C67" s="29" t="s">
        <v>417</v>
      </c>
      <c r="E67" s="29">
        <v>9</v>
      </c>
    </row>
    <row r="68" spans="1:5" s="29" customFormat="1">
      <c r="A68" s="29" t="s">
        <v>43</v>
      </c>
      <c r="B68" s="29">
        <v>905</v>
      </c>
      <c r="C68" s="29" t="s">
        <v>418</v>
      </c>
      <c r="E68" s="29">
        <v>9</v>
      </c>
    </row>
    <row r="69" spans="1:5" s="30" customFormat="1">
      <c r="A69" s="30" t="s">
        <v>43</v>
      </c>
      <c r="B69" s="30">
        <v>906</v>
      </c>
      <c r="C69" s="30" t="s">
        <v>419</v>
      </c>
      <c r="E69" s="30">
        <v>9</v>
      </c>
    </row>
    <row r="70" spans="1:5" s="29" customFormat="1">
      <c r="A70" s="29" t="s">
        <v>33</v>
      </c>
      <c r="B70" s="29">
        <v>1</v>
      </c>
      <c r="C70" s="29" t="s">
        <v>34</v>
      </c>
      <c r="D70" s="29">
        <v>1</v>
      </c>
    </row>
    <row r="71" spans="1:5" s="29" customFormat="1">
      <c r="A71" s="29" t="s">
        <v>33</v>
      </c>
      <c r="B71" s="29">
        <v>2</v>
      </c>
      <c r="C71" s="29" t="s">
        <v>35</v>
      </c>
      <c r="D71" s="29">
        <v>1</v>
      </c>
    </row>
    <row r="72" spans="1:5" s="29" customFormat="1">
      <c r="A72" s="29" t="s">
        <v>33</v>
      </c>
      <c r="B72" s="29">
        <v>3</v>
      </c>
      <c r="C72" s="29" t="s">
        <v>36</v>
      </c>
      <c r="D72" s="29">
        <v>2</v>
      </c>
    </row>
    <row r="73" spans="1:5" s="29" customFormat="1">
      <c r="A73" s="29" t="s">
        <v>33</v>
      </c>
      <c r="B73" s="29">
        <v>4</v>
      </c>
      <c r="C73" s="29" t="s">
        <v>420</v>
      </c>
      <c r="D73" s="29">
        <v>2</v>
      </c>
    </row>
    <row r="74" spans="1:5" s="29" customFormat="1">
      <c r="A74" s="29" t="s">
        <v>33</v>
      </c>
      <c r="B74" s="29">
        <v>5</v>
      </c>
      <c r="C74" s="29" t="s">
        <v>421</v>
      </c>
      <c r="D74" s="29">
        <v>3</v>
      </c>
    </row>
    <row r="75" spans="1:5" s="30" customFormat="1">
      <c r="A75" s="30" t="s">
        <v>33</v>
      </c>
      <c r="B75" s="30">
        <v>6</v>
      </c>
      <c r="C75" s="30" t="s">
        <v>422</v>
      </c>
      <c r="D75" s="30">
        <v>3</v>
      </c>
    </row>
    <row r="76" spans="1:5">
      <c r="A76" t="s">
        <v>50</v>
      </c>
      <c r="B76">
        <v>1</v>
      </c>
      <c r="C76" t="s">
        <v>102</v>
      </c>
    </row>
    <row r="77" spans="1:5">
      <c r="A77" t="s">
        <v>50</v>
      </c>
      <c r="B77">
        <v>2</v>
      </c>
      <c r="C77" t="s">
        <v>463</v>
      </c>
    </row>
    <row r="78" spans="1:5" s="6" customFormat="1">
      <c r="A78" s="6" t="s">
        <v>50</v>
      </c>
      <c r="B78" s="6">
        <v>3</v>
      </c>
      <c r="C78" s="6" t="s">
        <v>51</v>
      </c>
    </row>
    <row r="79" spans="1:5" s="29" customFormat="1">
      <c r="A79" s="29" t="s">
        <v>452</v>
      </c>
      <c r="B79" s="29">
        <v>1</v>
      </c>
      <c r="C79" s="29" t="s">
        <v>453</v>
      </c>
    </row>
    <row r="80" spans="1:5" s="29" customFormat="1">
      <c r="A80" s="29" t="s">
        <v>452</v>
      </c>
      <c r="B80" s="29">
        <v>2</v>
      </c>
      <c r="C80" s="29" t="s">
        <v>454</v>
      </c>
    </row>
    <row r="81" spans="1:3" s="29" customFormat="1">
      <c r="A81" s="29" t="s">
        <v>452</v>
      </c>
      <c r="B81" s="29">
        <v>3</v>
      </c>
      <c r="C81" s="29" t="s">
        <v>455</v>
      </c>
    </row>
    <row r="82" spans="1:3" s="29" customFormat="1">
      <c r="A82" s="29" t="s">
        <v>452</v>
      </c>
      <c r="B82" s="29">
        <v>4</v>
      </c>
      <c r="C82" s="29" t="s">
        <v>456</v>
      </c>
    </row>
    <row r="83" spans="1:3" s="29" customFormat="1">
      <c r="A83" s="29" t="s">
        <v>452</v>
      </c>
      <c r="B83" s="29">
        <v>5</v>
      </c>
      <c r="C83" s="29" t="s">
        <v>457</v>
      </c>
    </row>
    <row r="84" spans="1:3" s="29" customFormat="1">
      <c r="A84" s="29" t="s">
        <v>452</v>
      </c>
      <c r="B84" s="29">
        <v>6</v>
      </c>
      <c r="C84" s="29" t="s">
        <v>458</v>
      </c>
    </row>
    <row r="85" spans="1:3" s="29" customFormat="1">
      <c r="A85" s="29" t="s">
        <v>452</v>
      </c>
      <c r="B85" s="29">
        <v>7</v>
      </c>
      <c r="C85" s="29" t="s">
        <v>459</v>
      </c>
    </row>
    <row r="86" spans="1:3" s="29" customFormat="1">
      <c r="A86" s="29" t="s">
        <v>452</v>
      </c>
      <c r="B86" s="29">
        <v>8</v>
      </c>
      <c r="C86" s="29" t="s">
        <v>460</v>
      </c>
    </row>
    <row r="87" spans="1:3" s="29" customFormat="1">
      <c r="A87" s="29" t="s">
        <v>452</v>
      </c>
      <c r="B87" s="29">
        <v>9</v>
      </c>
      <c r="C87" s="29" t="s">
        <v>461</v>
      </c>
    </row>
    <row r="88" spans="1:3" s="30" customFormat="1">
      <c r="A88" s="30" t="s">
        <v>452</v>
      </c>
      <c r="B88" s="30">
        <v>10</v>
      </c>
      <c r="C88" s="30" t="s">
        <v>462</v>
      </c>
    </row>
    <row r="89" spans="1:3">
      <c r="A89" t="s">
        <v>84</v>
      </c>
      <c r="B89">
        <v>1</v>
      </c>
      <c r="C89" t="s">
        <v>85</v>
      </c>
    </row>
    <row r="90" spans="1:3" s="6" customFormat="1">
      <c r="A90" s="6" t="s">
        <v>84</v>
      </c>
      <c r="B90" s="6">
        <v>2</v>
      </c>
      <c r="C90" s="6" t="s">
        <v>86</v>
      </c>
    </row>
    <row r="91" spans="1:3">
      <c r="A91" t="s">
        <v>144</v>
      </c>
      <c r="B91">
        <v>1</v>
      </c>
      <c r="C91" t="s">
        <v>302</v>
      </c>
    </row>
    <row r="92" spans="1:3">
      <c r="A92" t="s">
        <v>144</v>
      </c>
      <c r="B92">
        <v>2</v>
      </c>
      <c r="C92" t="s">
        <v>301</v>
      </c>
    </row>
    <row r="93" spans="1:3">
      <c r="A93" t="s">
        <v>144</v>
      </c>
      <c r="B93">
        <v>3</v>
      </c>
      <c r="C93" t="s">
        <v>298</v>
      </c>
    </row>
    <row r="94" spans="1:3">
      <c r="A94" t="s">
        <v>144</v>
      </c>
      <c r="B94">
        <v>4</v>
      </c>
      <c r="C94" t="s">
        <v>299</v>
      </c>
    </row>
    <row r="95" spans="1:3">
      <c r="A95" t="s">
        <v>144</v>
      </c>
      <c r="B95">
        <v>5</v>
      </c>
      <c r="C95" t="s">
        <v>300</v>
      </c>
    </row>
    <row r="96" spans="1:3" s="6" customFormat="1">
      <c r="A96" s="6" t="s">
        <v>144</v>
      </c>
      <c r="B96" s="6">
        <v>96</v>
      </c>
      <c r="C96" s="6" t="s">
        <v>109</v>
      </c>
    </row>
    <row r="97" spans="1:5">
      <c r="A97" t="s">
        <v>108</v>
      </c>
      <c r="B97">
        <v>1</v>
      </c>
      <c r="C97" t="s">
        <v>279</v>
      </c>
    </row>
    <row r="98" spans="1:5">
      <c r="A98" t="s">
        <v>108</v>
      </c>
      <c r="B98">
        <v>2</v>
      </c>
      <c r="C98" t="s">
        <v>114</v>
      </c>
    </row>
    <row r="99" spans="1:5">
      <c r="A99" t="s">
        <v>108</v>
      </c>
      <c r="B99">
        <v>3</v>
      </c>
      <c r="C99" t="s">
        <v>115</v>
      </c>
    </row>
    <row r="100" spans="1:5">
      <c r="A100" t="s">
        <v>108</v>
      </c>
      <c r="B100">
        <v>8</v>
      </c>
      <c r="C100" t="s">
        <v>116</v>
      </c>
    </row>
    <row r="101" spans="1:5">
      <c r="A101" t="s">
        <v>108</v>
      </c>
      <c r="B101">
        <v>96</v>
      </c>
      <c r="C101" t="s">
        <v>109</v>
      </c>
    </row>
    <row r="102" spans="1:5" s="32" customFormat="1">
      <c r="A102" s="32" t="s">
        <v>29</v>
      </c>
      <c r="B102" s="32">
        <v>1</v>
      </c>
      <c r="C102" s="32" t="s">
        <v>30</v>
      </c>
    </row>
    <row r="103" spans="1:5" s="29" customFormat="1">
      <c r="A103" s="29" t="s">
        <v>29</v>
      </c>
      <c r="B103" s="29">
        <v>2</v>
      </c>
      <c r="C103" s="29" t="s">
        <v>31</v>
      </c>
    </row>
    <row r="104" spans="1:5" s="30" customFormat="1">
      <c r="A104" s="30" t="s">
        <v>29</v>
      </c>
      <c r="B104" s="30">
        <v>3</v>
      </c>
      <c r="C104" s="30" t="s">
        <v>32</v>
      </c>
    </row>
    <row r="105" spans="1:5">
      <c r="A105" t="s">
        <v>243</v>
      </c>
      <c r="B105">
        <v>1</v>
      </c>
      <c r="C105" t="s">
        <v>272</v>
      </c>
    </row>
    <row r="106" spans="1:5">
      <c r="A106" t="s">
        <v>243</v>
      </c>
      <c r="B106">
        <v>2</v>
      </c>
      <c r="C106" t="s">
        <v>273</v>
      </c>
    </row>
    <row r="107" spans="1:5">
      <c r="A107" t="s">
        <v>243</v>
      </c>
      <c r="B107">
        <v>3</v>
      </c>
      <c r="C107" t="s">
        <v>274</v>
      </c>
    </row>
    <row r="108" spans="1:5">
      <c r="A108" t="s">
        <v>243</v>
      </c>
      <c r="B108">
        <v>4</v>
      </c>
      <c r="C108" t="s">
        <v>160</v>
      </c>
    </row>
    <row r="109" spans="1:5">
      <c r="A109" t="s">
        <v>243</v>
      </c>
      <c r="B109">
        <v>5</v>
      </c>
      <c r="C109" t="s">
        <v>161</v>
      </c>
    </row>
    <row r="110" spans="1:5">
      <c r="A110" t="s">
        <v>243</v>
      </c>
      <c r="B110">
        <v>6</v>
      </c>
      <c r="C110" t="s">
        <v>275</v>
      </c>
    </row>
    <row r="111" spans="1:5" s="6" customFormat="1">
      <c r="A111" s="6" t="s">
        <v>243</v>
      </c>
      <c r="B111" s="6">
        <v>96</v>
      </c>
      <c r="C111" s="6" t="s">
        <v>109</v>
      </c>
    </row>
    <row r="112" spans="1:5" s="29" customFormat="1">
      <c r="A112" s="29" t="s">
        <v>37</v>
      </c>
      <c r="B112" s="29">
        <v>1</v>
      </c>
      <c r="C112" s="29" t="s">
        <v>39</v>
      </c>
      <c r="E112" s="29">
        <v>1</v>
      </c>
    </row>
    <row r="113" spans="1:5" s="29" customFormat="1">
      <c r="A113" s="29" t="s">
        <v>37</v>
      </c>
      <c r="B113" s="29">
        <v>2</v>
      </c>
      <c r="C113" s="29" t="s">
        <v>40</v>
      </c>
      <c r="E113" s="29">
        <v>1</v>
      </c>
    </row>
    <row r="114" spans="1:5" s="29" customFormat="1">
      <c r="A114" s="29" t="s">
        <v>37</v>
      </c>
      <c r="B114" s="29">
        <v>3</v>
      </c>
      <c r="C114" s="29" t="s">
        <v>41</v>
      </c>
      <c r="E114" s="29">
        <v>2</v>
      </c>
    </row>
    <row r="115" spans="1:5" s="29" customFormat="1">
      <c r="A115" s="29" t="s">
        <v>37</v>
      </c>
      <c r="B115" s="29">
        <v>4</v>
      </c>
      <c r="C115" s="29" t="s">
        <v>423</v>
      </c>
      <c r="E115" s="29">
        <v>2</v>
      </c>
    </row>
    <row r="116" spans="1:5" s="29" customFormat="1">
      <c r="A116" s="29" t="s">
        <v>37</v>
      </c>
      <c r="B116" s="29">
        <v>5</v>
      </c>
      <c r="C116" s="29" t="s">
        <v>424</v>
      </c>
      <c r="E116" s="29">
        <v>3</v>
      </c>
    </row>
    <row r="117" spans="1:5" s="29" customFormat="1">
      <c r="A117" s="29" t="s">
        <v>37</v>
      </c>
      <c r="B117" s="29">
        <v>6</v>
      </c>
      <c r="C117" s="29" t="s">
        <v>425</v>
      </c>
      <c r="E117" s="29">
        <v>3</v>
      </c>
    </row>
    <row r="118" spans="1:5" s="29" customFormat="1">
      <c r="A118" s="29" t="s">
        <v>37</v>
      </c>
      <c r="B118" s="29">
        <v>7</v>
      </c>
      <c r="C118" s="29" t="s">
        <v>426</v>
      </c>
      <c r="E118" s="29">
        <v>4</v>
      </c>
    </row>
    <row r="119" spans="1:5" s="29" customFormat="1">
      <c r="A119" s="29" t="s">
        <v>37</v>
      </c>
      <c r="B119" s="29">
        <v>8</v>
      </c>
      <c r="C119" s="29" t="s">
        <v>427</v>
      </c>
      <c r="E119" s="29">
        <v>4</v>
      </c>
    </row>
    <row r="120" spans="1:5" s="29" customFormat="1">
      <c r="A120" s="29" t="s">
        <v>37</v>
      </c>
      <c r="B120" s="29">
        <v>9</v>
      </c>
      <c r="C120" s="29" t="s">
        <v>428</v>
      </c>
      <c r="E120" s="29">
        <v>5</v>
      </c>
    </row>
    <row r="121" spans="1:5" s="29" customFormat="1">
      <c r="A121" s="29" t="s">
        <v>37</v>
      </c>
      <c r="B121" s="29">
        <v>10</v>
      </c>
      <c r="C121" s="29" t="s">
        <v>429</v>
      </c>
      <c r="E121" s="29">
        <v>5</v>
      </c>
    </row>
    <row r="122" spans="1:5" s="29" customFormat="1">
      <c r="A122" s="29" t="s">
        <v>37</v>
      </c>
      <c r="B122" s="29">
        <v>11</v>
      </c>
      <c r="C122" s="29" t="s">
        <v>430</v>
      </c>
      <c r="E122" s="29">
        <v>6</v>
      </c>
    </row>
    <row r="123" spans="1:5" s="29" customFormat="1">
      <c r="A123" s="29" t="s">
        <v>37</v>
      </c>
      <c r="B123" s="29">
        <v>12</v>
      </c>
      <c r="C123" s="29" t="s">
        <v>431</v>
      </c>
      <c r="E123" s="29">
        <v>6</v>
      </c>
    </row>
    <row r="124" spans="1:5" s="29" customFormat="1">
      <c r="A124" s="29" t="s">
        <v>37</v>
      </c>
      <c r="B124" s="29">
        <v>13</v>
      </c>
      <c r="C124" s="29" t="s">
        <v>432</v>
      </c>
      <c r="E124" s="29">
        <v>7</v>
      </c>
    </row>
    <row r="125" spans="1:5" s="29" customFormat="1">
      <c r="A125" s="29" t="s">
        <v>37</v>
      </c>
      <c r="B125" s="29">
        <v>14</v>
      </c>
      <c r="C125" s="29" t="s">
        <v>433</v>
      </c>
      <c r="E125" s="29">
        <v>7</v>
      </c>
    </row>
    <row r="126" spans="1:5" s="29" customFormat="1">
      <c r="A126" s="29" t="s">
        <v>37</v>
      </c>
      <c r="B126" s="29">
        <v>15</v>
      </c>
      <c r="C126" s="29" t="s">
        <v>434</v>
      </c>
      <c r="E126" s="29">
        <v>8</v>
      </c>
    </row>
    <row r="127" spans="1:5" s="29" customFormat="1">
      <c r="A127" s="29" t="s">
        <v>37</v>
      </c>
      <c r="B127" s="29">
        <v>16</v>
      </c>
      <c r="C127" s="29" t="s">
        <v>435</v>
      </c>
      <c r="E127" s="29">
        <v>8</v>
      </c>
    </row>
    <row r="128" spans="1:5" s="29" customFormat="1">
      <c r="A128" s="29" t="s">
        <v>37</v>
      </c>
      <c r="B128" s="29">
        <v>17</v>
      </c>
      <c r="C128" s="29" t="s">
        <v>436</v>
      </c>
      <c r="E128" s="29">
        <v>9</v>
      </c>
    </row>
    <row r="129" spans="1:5" s="30" customFormat="1">
      <c r="A129" s="30" t="s">
        <v>37</v>
      </c>
      <c r="B129" s="30">
        <v>18</v>
      </c>
      <c r="C129" s="30" t="s">
        <v>437</v>
      </c>
      <c r="E129" s="30">
        <v>9</v>
      </c>
    </row>
    <row r="130" spans="1:5">
      <c r="A130" t="s">
        <v>67</v>
      </c>
      <c r="B130">
        <v>1</v>
      </c>
      <c r="C130" t="s">
        <v>247</v>
      </c>
    </row>
    <row r="131" spans="1:5">
      <c r="A131" t="s">
        <v>67</v>
      </c>
      <c r="B131">
        <v>2</v>
      </c>
      <c r="C131" t="s">
        <v>248</v>
      </c>
    </row>
    <row r="132" spans="1:5">
      <c r="A132" t="s">
        <v>67</v>
      </c>
      <c r="B132">
        <v>3</v>
      </c>
      <c r="C132" t="s">
        <v>75</v>
      </c>
    </row>
    <row r="133" spans="1:5" s="6" customFormat="1">
      <c r="A133" s="6" t="s">
        <v>67</v>
      </c>
      <c r="B133" s="6">
        <v>98</v>
      </c>
      <c r="C133" s="6" t="s">
        <v>69</v>
      </c>
    </row>
    <row r="134" spans="1:5">
      <c r="A134" t="s">
        <v>74</v>
      </c>
      <c r="B134">
        <v>0</v>
      </c>
      <c r="C134" t="s">
        <v>75</v>
      </c>
    </row>
    <row r="135" spans="1:5" s="6" customFormat="1">
      <c r="A135" s="6" t="s">
        <v>74</v>
      </c>
      <c r="B135" s="6">
        <v>1</v>
      </c>
      <c r="C135" s="6" t="s">
        <v>68</v>
      </c>
    </row>
    <row r="136" spans="1:5">
      <c r="A136" t="s">
        <v>104</v>
      </c>
      <c r="B136">
        <v>0</v>
      </c>
      <c r="C136" t="s">
        <v>75</v>
      </c>
    </row>
    <row r="137" spans="1:5">
      <c r="A137" t="s">
        <v>104</v>
      </c>
      <c r="B137">
        <v>1</v>
      </c>
      <c r="C137" t="s">
        <v>68</v>
      </c>
    </row>
    <row r="138" spans="1:5">
      <c r="A138" t="s">
        <v>104</v>
      </c>
      <c r="B138">
        <v>98</v>
      </c>
      <c r="C138" t="s">
        <v>69</v>
      </c>
    </row>
  </sheetData>
  <phoneticPr fontId="1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7FE2-2D2E-44C5-BB4F-1DF445D35875}">
  <sheetPr codeName="Sheet1"/>
  <dimension ref="A1:E4"/>
  <sheetViews>
    <sheetView workbookViewId="0">
      <selection activeCell="B2" sqref="B2"/>
    </sheetView>
  </sheetViews>
  <sheetFormatPr defaultRowHeight="15"/>
  <cols>
    <col min="1" max="1" width="36.85546875" bestFit="1" customWidth="1"/>
    <col min="2" max="2" width="17.7109375" bestFit="1" customWidth="1"/>
    <col min="3" max="3" width="40.28515625" bestFit="1" customWidth="1"/>
    <col min="4" max="4" width="15.140625" bestFit="1" customWidth="1"/>
    <col min="5" max="5" width="16.5703125" bestFit="1" customWidth="1"/>
  </cols>
  <sheetData>
    <row r="1" spans="1:5">
      <c r="A1" s="3" t="s">
        <v>0</v>
      </c>
      <c r="B1" s="3" t="s">
        <v>1</v>
      </c>
      <c r="C1" s="3" t="s">
        <v>2</v>
      </c>
      <c r="D1" s="3" t="s">
        <v>3</v>
      </c>
      <c r="E1" s="3" t="s">
        <v>4</v>
      </c>
    </row>
    <row r="2" spans="1:5">
      <c r="A2" t="s">
        <v>440</v>
      </c>
      <c r="B2" t="s">
        <v>276</v>
      </c>
      <c r="C2" s="2" t="s">
        <v>169</v>
      </c>
      <c r="D2" t="str">
        <f ca="1">TEXT(NOW(), "yyyymmddhhmmss")</f>
        <v>20251218092730</v>
      </c>
      <c r="E2" t="s">
        <v>5</v>
      </c>
    </row>
    <row r="4" spans="1:5">
      <c r="D4"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F11AF2F54683D48B47D51E7C5C20D0A" ma:contentTypeVersion="21" ma:contentTypeDescription="Create a new document." ma:contentTypeScope="" ma:versionID="739c6c93e1fa3242103328fd7c6fd4fe">
  <xsd:schema xmlns:xsd="http://www.w3.org/2001/XMLSchema" xmlns:xs="http://www.w3.org/2001/XMLSchema" xmlns:p="http://schemas.microsoft.com/office/2006/metadata/properties" xmlns:ns2="7a2ce8f2-2204-4367-a41c-b735e7c03037" xmlns:ns3="f53cdae7-58e9-463a-80c4-ff1f1a52caeb" targetNamespace="http://schemas.microsoft.com/office/2006/metadata/properties" ma:root="true" ma:fieldsID="23a554fc1540e055b3dda9e0febfb003" ns2:_="" ns3:_="">
    <xsd:import namespace="7a2ce8f2-2204-4367-a41c-b735e7c03037"/>
    <xsd:import namespace="f53cdae7-58e9-463a-80c4-ff1f1a52cae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3:TaxCatchAll" minOccurs="0"/>
                <xsd:element ref="ns2:lcf76f155ced4ddcb4097134ff3c332f" minOccurs="0"/>
                <xsd:element ref="ns2:MediaServiceObjectDetectorVersions" minOccurs="0"/>
                <xsd:element ref="ns2:MediaServiceSearchProperties" minOccurs="0"/>
                <xsd:element ref="ns2:Pers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ce8f2-2204-4367-a41c-b735e7c030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af481388-e4f2-439f-bf9b-2973949102f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Person" ma:index="26" nillable="true" ma:displayName="Person" ma:format="Dropdown" ma:list="UserInfo" ma:SharePointGroup="0" ma:internalName="Person">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53cdae7-58e9-463a-80c4-ff1f1a52caeb"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b80ac432-b52e-4b43-bc4d-225ae3d48219}" ma:internalName="TaxCatchAll" ma:showField="CatchAllData" ma:web="f53cdae7-58e9-463a-80c4-ff1f1a52cae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erson xmlns="7a2ce8f2-2204-4367-a41c-b735e7c03037">
      <UserInfo>
        <DisplayName/>
        <AccountId xsi:nil="true"/>
        <AccountType/>
      </UserInfo>
    </Person>
    <TaxCatchAll xmlns="f53cdae7-58e9-463a-80c4-ff1f1a52caeb" xsi:nil="true"/>
    <lcf76f155ced4ddcb4097134ff3c332f xmlns="7a2ce8f2-2204-4367-a41c-b735e7c0303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A1485D1-AA70-4E76-9F99-A42C71F2BF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a2ce8f2-2204-4367-a41c-b735e7c03037"/>
    <ds:schemaRef ds:uri="f53cdae7-58e9-463a-80c4-ff1f1a52ca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A6162D1-17AE-4588-924B-EBCDBFA7DB57}">
  <ds:schemaRefs>
    <ds:schemaRef ds:uri="http://schemas.microsoft.com/sharepoint/v3/contenttype/forms"/>
  </ds:schemaRefs>
</ds:datastoreItem>
</file>

<file path=customXml/itemProps3.xml><?xml version="1.0" encoding="utf-8"?>
<ds:datastoreItem xmlns:ds="http://schemas.openxmlformats.org/officeDocument/2006/customXml" ds:itemID="{8F4A0336-77D1-453F-B358-8B53C5BA73A7}">
  <ds:schemaRefs>
    <ds:schemaRef ds:uri="http://www.w3.org/XML/1998/namespace"/>
    <ds:schemaRef ds:uri="http://purl.org/dc/terms/"/>
    <ds:schemaRef ds:uri="http://schemas.openxmlformats.org/package/2006/metadata/core-properties"/>
    <ds:schemaRef ds:uri="http://schemas.microsoft.com/office/2006/documentManagement/types"/>
    <ds:schemaRef ds:uri="http://schemas.microsoft.com/office/2006/metadata/properties"/>
    <ds:schemaRef ds:uri="http://purl.org/dc/elements/1.1/"/>
    <ds:schemaRef ds:uri="http://schemas.microsoft.com/office/infopath/2007/PartnerControls"/>
    <ds:schemaRef ds:uri="f53cdae7-58e9-463a-80c4-ff1f1a52caeb"/>
    <ds:schemaRef ds:uri="7a2ce8f2-2204-4367-a41c-b735e7c03037"/>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Steve Poyer  | Tropical Health</cp:lastModifiedBy>
  <dcterms:created xsi:type="dcterms:W3CDTF">2015-06-05T18:17:20Z</dcterms:created>
  <dcterms:modified xsi:type="dcterms:W3CDTF">2025-12-18T09:31:30Z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0x010100BF11AF2F54683D48B47D51E7C5C20D0A</vt:lpwstr>
  </property>
  <property fmtid="{D5CDD505-2E9C-101B-9397-08002B2CF9AE}" pid="3" name="MediaServiceImageTags">
    <vt:lpwstr/>
  </property>
</Properties>
</file>