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opichealthcom.sharepoint.com/sites/Projects77/Projects  Open/C033 - OPITACA/60 - Implementation/WS3 - Data and cLQAS/TH adaptable tools/Analysis scripts/clqas-tools/Dummy tables/"/>
    </mc:Choice>
  </mc:AlternateContent>
  <xr:revisionPtr revIDLastSave="0" documentId="14_{E1891AD2-DD6E-4B60-9F15-93DF4EBC566A}" xr6:coauthVersionLast="47" xr6:coauthVersionMax="47" xr10:uidLastSave="{00000000-0000-0000-0000-000000000000}"/>
  <bookViews>
    <workbookView xWindow="-75" yWindow="-16320" windowWidth="29040" windowHeight="16440" tabRatio="896" xr2:uid="{C6888998-64C4-4FB1-A8CF-30DA95DD3E6B}"/>
  </bookViews>
  <sheets>
    <sheet name="ITN distn outcomes - 1+ ITNs" sheetId="17" r:id="rId1"/>
    <sheet name="ITN distn outcomes - correct" sheetId="18" r:id="rId2"/>
    <sheet name="Current ITN supply" sheetId="19" r:id="rId3"/>
    <sheet name="ITN population access" sheetId="20" r:id="rId4"/>
    <sheet name="ITN use" sheetId="21" r:id="rId5"/>
    <sheet name="ITN use - reasons for non use" sheetId="22" r:id="rId6"/>
    <sheet name="ITN distribution info sources" sheetId="23" r:id="rId7"/>
    <sheet name="ITN SBC exposure" sheetId="24" r:id="rId8"/>
    <sheet name="Lot classification" sheetId="15" r:id="rId9"/>
    <sheet name="Annex - HHR outcomes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7" l="1"/>
  <c r="I38" i="17"/>
  <c r="K37" i="17"/>
  <c r="I37" i="17"/>
  <c r="K36" i="17"/>
  <c r="I36" i="17"/>
  <c r="K35" i="17"/>
  <c r="I35" i="17"/>
  <c r="K34" i="17"/>
  <c r="I34" i="17"/>
  <c r="K33" i="17"/>
  <c r="I33" i="17"/>
  <c r="K32" i="17"/>
  <c r="I32" i="17"/>
  <c r="K31" i="17"/>
  <c r="I31" i="17"/>
  <c r="K30" i="17"/>
  <c r="I30" i="17"/>
  <c r="K29" i="17"/>
  <c r="I29" i="17"/>
  <c r="K28" i="17"/>
  <c r="I28" i="17"/>
  <c r="AD38" i="17"/>
  <c r="AD37" i="17"/>
  <c r="AD36" i="17"/>
  <c r="AD35" i="17"/>
  <c r="AD34" i="17"/>
  <c r="AD33" i="17"/>
  <c r="AD32" i="17"/>
  <c r="AD31" i="17"/>
  <c r="AD30" i="17"/>
  <c r="AD29" i="17"/>
  <c r="AD28" i="17"/>
  <c r="U38" i="22"/>
  <c r="S38" i="22"/>
  <c r="E32" i="22"/>
  <c r="Q30" i="21"/>
  <c r="E31" i="22"/>
  <c r="K38" i="17" l="1"/>
  <c r="Q38" i="18"/>
  <c r="Q37" i="18"/>
  <c r="Q36" i="18"/>
  <c r="Q35" i="18"/>
  <c r="Q34" i="18"/>
  <c r="Q33" i="18"/>
  <c r="Q32" i="18"/>
  <c r="Q31" i="18"/>
  <c r="Q30" i="18"/>
  <c r="Q29" i="18"/>
  <c r="Q28" i="18"/>
  <c r="O38" i="18"/>
  <c r="O37" i="18"/>
  <c r="O36" i="18"/>
  <c r="O35" i="18"/>
  <c r="O34" i="18"/>
  <c r="O33" i="18"/>
  <c r="O32" i="18"/>
  <c r="O31" i="18"/>
  <c r="O30" i="18"/>
  <c r="O29" i="18"/>
  <c r="O28" i="18"/>
  <c r="M38" i="18"/>
  <c r="M37" i="18"/>
  <c r="M36" i="18"/>
  <c r="M35" i="18"/>
  <c r="M34" i="18"/>
  <c r="M33" i="18"/>
  <c r="M32" i="18"/>
  <c r="M31" i="18"/>
  <c r="M30" i="18"/>
  <c r="M29" i="18"/>
  <c r="M28" i="18"/>
  <c r="K38" i="18"/>
  <c r="K37" i="18"/>
  <c r="K36" i="18"/>
  <c r="K35" i="18"/>
  <c r="K34" i="18"/>
  <c r="K33" i="18"/>
  <c r="K32" i="18"/>
  <c r="K31" i="18"/>
  <c r="K30" i="18"/>
  <c r="K29" i="18"/>
  <c r="K28" i="18"/>
  <c r="I38" i="18"/>
  <c r="I37" i="18"/>
  <c r="I36" i="18"/>
  <c r="I35" i="18"/>
  <c r="I34" i="18"/>
  <c r="I33" i="18"/>
  <c r="I32" i="18"/>
  <c r="I31" i="18"/>
  <c r="I30" i="18"/>
  <c r="I29" i="18"/>
  <c r="I28" i="18"/>
  <c r="AN38" i="17"/>
  <c r="AN37" i="17"/>
  <c r="AN36" i="17"/>
  <c r="AN35" i="17"/>
  <c r="AN34" i="17"/>
  <c r="AN33" i="17"/>
  <c r="AN32" i="17"/>
  <c r="AN31" i="17"/>
  <c r="AN30" i="17"/>
  <c r="AN29" i="17"/>
  <c r="AN28" i="17"/>
  <c r="AL37" i="17"/>
  <c r="AL36" i="17"/>
  <c r="AL35" i="17"/>
  <c r="AL34" i="17"/>
  <c r="AL33" i="17"/>
  <c r="AL32" i="17"/>
  <c r="AL31" i="17"/>
  <c r="AL30" i="17"/>
  <c r="AL29" i="17"/>
  <c r="AL28" i="17"/>
  <c r="AJ38" i="17"/>
  <c r="AJ37" i="17"/>
  <c r="AJ36" i="17"/>
  <c r="AJ35" i="17"/>
  <c r="AJ34" i="17"/>
  <c r="AJ33" i="17"/>
  <c r="AJ32" i="17"/>
  <c r="AJ31" i="17"/>
  <c r="AJ30" i="17"/>
  <c r="AJ29" i="17"/>
  <c r="AJ28" i="17"/>
  <c r="AH37" i="17"/>
  <c r="AH36" i="17"/>
  <c r="AH35" i="17"/>
  <c r="AH34" i="17"/>
  <c r="AH33" i="17"/>
  <c r="AH32" i="17"/>
  <c r="AH31" i="17"/>
  <c r="AH30" i="17"/>
  <c r="AH29" i="17"/>
  <c r="AH28" i="17"/>
  <c r="AF37" i="17"/>
  <c r="AF36" i="17"/>
  <c r="AF35" i="17"/>
  <c r="AF34" i="17"/>
  <c r="AF33" i="17"/>
  <c r="AF32" i="17"/>
  <c r="AF31" i="17"/>
  <c r="AF30" i="17"/>
  <c r="AF29" i="17"/>
  <c r="AF28" i="17"/>
  <c r="U38" i="17"/>
  <c r="U37" i="17"/>
  <c r="U36" i="17"/>
  <c r="U35" i="17"/>
  <c r="U34" i="17"/>
  <c r="U33" i="17"/>
  <c r="U32" i="17"/>
  <c r="U31" i="17"/>
  <c r="U30" i="17"/>
  <c r="U29" i="17"/>
  <c r="U28" i="17"/>
  <c r="S38" i="17"/>
  <c r="S37" i="17"/>
  <c r="S36" i="17"/>
  <c r="S35" i="17"/>
  <c r="S34" i="17"/>
  <c r="S33" i="17"/>
  <c r="S32" i="17"/>
  <c r="S31" i="17"/>
  <c r="S30" i="17"/>
  <c r="S29" i="17"/>
  <c r="S28" i="17"/>
  <c r="Q37" i="17"/>
  <c r="Q36" i="17"/>
  <c r="Q35" i="17"/>
  <c r="Q34" i="17"/>
  <c r="Q33" i="17"/>
  <c r="Q32" i="17"/>
  <c r="Q31" i="17"/>
  <c r="Q30" i="17"/>
  <c r="Q29" i="17"/>
  <c r="Q28" i="17"/>
  <c r="O38" i="17"/>
  <c r="O37" i="17"/>
  <c r="O36" i="17"/>
  <c r="O35" i="17"/>
  <c r="O34" i="17"/>
  <c r="O33" i="17"/>
  <c r="O32" i="17"/>
  <c r="O31" i="17"/>
  <c r="O30" i="17"/>
  <c r="O29" i="17"/>
  <c r="O28" i="17"/>
  <c r="M37" i="17"/>
  <c r="M36" i="17"/>
  <c r="M35" i="17"/>
  <c r="M34" i="17"/>
  <c r="M33" i="17"/>
  <c r="M32" i="17"/>
  <c r="M31" i="17"/>
  <c r="M30" i="17"/>
  <c r="M29" i="17"/>
  <c r="M28" i="17"/>
  <c r="I28" i="16"/>
  <c r="Q38" i="16"/>
  <c r="Q37" i="16"/>
  <c r="Q36" i="16"/>
  <c r="Q35" i="16"/>
  <c r="Q34" i="16"/>
  <c r="Q33" i="16"/>
  <c r="Q32" i="16"/>
  <c r="Q31" i="16"/>
  <c r="Q30" i="16"/>
  <c r="Q29" i="16"/>
  <c r="Q28" i="16"/>
  <c r="O38" i="16"/>
  <c r="O37" i="16"/>
  <c r="O36" i="16"/>
  <c r="O35" i="16"/>
  <c r="O34" i="16"/>
  <c r="O33" i="16"/>
  <c r="O32" i="16"/>
  <c r="O31" i="16"/>
  <c r="O30" i="16"/>
  <c r="O29" i="16"/>
  <c r="O28" i="16"/>
  <c r="M37" i="16"/>
  <c r="M36" i="16"/>
  <c r="M35" i="16"/>
  <c r="M34" i="16"/>
  <c r="M33" i="16"/>
  <c r="M32" i="16"/>
  <c r="M31" i="16"/>
  <c r="M30" i="16"/>
  <c r="M29" i="16"/>
  <c r="M28" i="16"/>
  <c r="K38" i="16"/>
  <c r="K37" i="16"/>
  <c r="K36" i="16"/>
  <c r="K35" i="16"/>
  <c r="K34" i="16"/>
  <c r="K33" i="16"/>
  <c r="K32" i="16"/>
  <c r="K31" i="16"/>
  <c r="K30" i="16"/>
  <c r="K29" i="16"/>
  <c r="K28" i="16"/>
  <c r="I38" i="16"/>
  <c r="I37" i="16"/>
  <c r="I36" i="16"/>
  <c r="I35" i="16"/>
  <c r="I34" i="16"/>
  <c r="I33" i="16"/>
  <c r="I32" i="16"/>
  <c r="I31" i="16"/>
  <c r="I30" i="16"/>
  <c r="I29" i="16"/>
  <c r="I38" i="23"/>
  <c r="I37" i="23"/>
  <c r="I36" i="23"/>
  <c r="I35" i="23"/>
  <c r="I34" i="23"/>
  <c r="U34" i="23" s="1"/>
  <c r="I33" i="23"/>
  <c r="U33" i="23" s="1"/>
  <c r="I32" i="23"/>
  <c r="U32" i="23" s="1"/>
  <c r="I31" i="23"/>
  <c r="U31" i="23" s="1"/>
  <c r="I30" i="23"/>
  <c r="I29" i="23"/>
  <c r="M29" i="23" s="1"/>
  <c r="O36" i="23"/>
  <c r="W35" i="23"/>
  <c r="Y34" i="23"/>
  <c r="Y33" i="23"/>
  <c r="AC31" i="23"/>
  <c r="M30" i="23"/>
  <c r="I28" i="23"/>
  <c r="AC28" i="23" s="1"/>
  <c r="AC37" i="23"/>
  <c r="AA37" i="23"/>
  <c r="AA36" i="23"/>
  <c r="AA35" i="23"/>
  <c r="AA34" i="23"/>
  <c r="AA28" i="23"/>
  <c r="Y37" i="23"/>
  <c r="Y28" i="23"/>
  <c r="W37" i="23"/>
  <c r="W36" i="23"/>
  <c r="W28" i="23"/>
  <c r="U37" i="23"/>
  <c r="U36" i="23"/>
  <c r="U35" i="23"/>
  <c r="U30" i="23"/>
  <c r="U28" i="23"/>
  <c r="S37" i="23"/>
  <c r="S28" i="23"/>
  <c r="Q37" i="23"/>
  <c r="Q36" i="23"/>
  <c r="Q35" i="23"/>
  <c r="Q34" i="23"/>
  <c r="Q28" i="23"/>
  <c r="O37" i="23"/>
  <c r="O28" i="23"/>
  <c r="M37" i="23"/>
  <c r="M36" i="23"/>
  <c r="M28" i="23"/>
  <c r="K37" i="23"/>
  <c r="K36" i="23"/>
  <c r="K35" i="23"/>
  <c r="K28" i="23"/>
  <c r="AB38" i="23"/>
  <c r="Z38" i="23"/>
  <c r="X38" i="23"/>
  <c r="V38" i="23"/>
  <c r="T38" i="23"/>
  <c r="R38" i="23"/>
  <c r="P38" i="23"/>
  <c r="N38" i="23"/>
  <c r="L38" i="23"/>
  <c r="J38" i="23"/>
  <c r="S38" i="24"/>
  <c r="U38" i="24"/>
  <c r="U37" i="24"/>
  <c r="U36" i="24"/>
  <c r="U35" i="24"/>
  <c r="U34" i="24"/>
  <c r="U33" i="24"/>
  <c r="U32" i="24"/>
  <c r="U31" i="24"/>
  <c r="U30" i="24"/>
  <c r="U29" i="24"/>
  <c r="U28" i="24"/>
  <c r="S37" i="24"/>
  <c r="S36" i="24"/>
  <c r="S35" i="24"/>
  <c r="S34" i="24"/>
  <c r="S33" i="24"/>
  <c r="S32" i="24"/>
  <c r="S31" i="24"/>
  <c r="S30" i="24"/>
  <c r="S29" i="24"/>
  <c r="S28" i="24"/>
  <c r="Q38" i="24"/>
  <c r="Q37" i="24"/>
  <c r="Q36" i="24"/>
  <c r="Q35" i="24"/>
  <c r="Q34" i="24"/>
  <c r="Q33" i="24"/>
  <c r="Q32" i="24"/>
  <c r="Q31" i="24"/>
  <c r="Q30" i="24"/>
  <c r="Q29" i="24"/>
  <c r="Q28" i="24"/>
  <c r="O38" i="24"/>
  <c r="O37" i="24"/>
  <c r="O36" i="24"/>
  <c r="O35" i="24"/>
  <c r="O34" i="24"/>
  <c r="O33" i="24"/>
  <c r="O32" i="24"/>
  <c r="O31" i="24"/>
  <c r="O30" i="24"/>
  <c r="O29" i="24"/>
  <c r="O28" i="24"/>
  <c r="M38" i="24"/>
  <c r="M37" i="24"/>
  <c r="M36" i="24"/>
  <c r="M35" i="24"/>
  <c r="M34" i="24"/>
  <c r="M33" i="24"/>
  <c r="M32" i="24"/>
  <c r="M31" i="24"/>
  <c r="M30" i="24"/>
  <c r="M29" i="24"/>
  <c r="M28" i="24"/>
  <c r="K38" i="24"/>
  <c r="K37" i="24"/>
  <c r="K36" i="24"/>
  <c r="K35" i="24"/>
  <c r="K34" i="24"/>
  <c r="K33" i="24"/>
  <c r="K32" i="24"/>
  <c r="K31" i="24"/>
  <c r="K30" i="24"/>
  <c r="K29" i="24"/>
  <c r="K28" i="24"/>
  <c r="I38" i="24"/>
  <c r="I37" i="24"/>
  <c r="I36" i="24"/>
  <c r="I35" i="24"/>
  <c r="I34" i="24"/>
  <c r="I33" i="24"/>
  <c r="I32" i="24"/>
  <c r="I31" i="24"/>
  <c r="I30" i="24"/>
  <c r="I29" i="24"/>
  <c r="I28" i="24"/>
  <c r="E38" i="24"/>
  <c r="E37" i="24"/>
  <c r="E36" i="24"/>
  <c r="E35" i="24"/>
  <c r="E34" i="24"/>
  <c r="E33" i="24"/>
  <c r="E32" i="24"/>
  <c r="E31" i="24"/>
  <c r="E30" i="24"/>
  <c r="E29" i="24"/>
  <c r="E28" i="24"/>
  <c r="T38" i="24"/>
  <c r="R38" i="24"/>
  <c r="P38" i="24"/>
  <c r="N38" i="24"/>
  <c r="L38" i="24"/>
  <c r="J38" i="24"/>
  <c r="F38" i="23"/>
  <c r="G37" i="23"/>
  <c r="G36" i="23"/>
  <c r="G35" i="23"/>
  <c r="G34" i="23"/>
  <c r="G33" i="23"/>
  <c r="G32" i="23"/>
  <c r="G31" i="23"/>
  <c r="G30" i="23"/>
  <c r="G29" i="23"/>
  <c r="G28" i="23"/>
  <c r="D38" i="23"/>
  <c r="E37" i="23"/>
  <c r="E36" i="23"/>
  <c r="E35" i="23"/>
  <c r="E34" i="23"/>
  <c r="E33" i="23"/>
  <c r="E32" i="23"/>
  <c r="E31" i="23"/>
  <c r="E30" i="23"/>
  <c r="E29" i="23"/>
  <c r="E28" i="23"/>
  <c r="C38" i="23"/>
  <c r="V38" i="22"/>
  <c r="P38" i="22"/>
  <c r="Q38" i="22" s="1"/>
  <c r="N38" i="22"/>
  <c r="L38" i="22"/>
  <c r="J38" i="22"/>
  <c r="H38" i="22"/>
  <c r="W35" i="22"/>
  <c r="W34" i="22"/>
  <c r="W33" i="22"/>
  <c r="W32" i="22"/>
  <c r="W31" i="22"/>
  <c r="W30" i="22"/>
  <c r="W29" i="22"/>
  <c r="W28" i="22"/>
  <c r="Q37" i="22"/>
  <c r="Q36" i="22"/>
  <c r="Q35" i="22"/>
  <c r="Q34" i="22"/>
  <c r="Q33" i="22"/>
  <c r="Q32" i="22"/>
  <c r="Q31" i="22"/>
  <c r="Q30" i="22"/>
  <c r="Q29" i="22"/>
  <c r="Q28" i="22"/>
  <c r="O37" i="22"/>
  <c r="O36" i="22"/>
  <c r="O34" i="22"/>
  <c r="O33" i="22"/>
  <c r="O29" i="22"/>
  <c r="O28" i="22"/>
  <c r="M37" i="22"/>
  <c r="M36" i="22"/>
  <c r="M35" i="22"/>
  <c r="M34" i="22"/>
  <c r="M33" i="22"/>
  <c r="M32" i="22"/>
  <c r="M31" i="22"/>
  <c r="M30" i="22"/>
  <c r="M29" i="22"/>
  <c r="M28" i="22"/>
  <c r="K37" i="22"/>
  <c r="K36" i="22"/>
  <c r="K35" i="22"/>
  <c r="K34" i="22"/>
  <c r="K33" i="22"/>
  <c r="K32" i="22"/>
  <c r="K31" i="22"/>
  <c r="K30" i="22"/>
  <c r="K29" i="22"/>
  <c r="K28" i="22"/>
  <c r="I34" i="22"/>
  <c r="I30" i="22"/>
  <c r="I29" i="22"/>
  <c r="I28" i="22"/>
  <c r="G38" i="22"/>
  <c r="D38" i="22"/>
  <c r="C38" i="22"/>
  <c r="E37" i="22"/>
  <c r="E36" i="22"/>
  <c r="E35" i="22"/>
  <c r="E34" i="22"/>
  <c r="E33" i="22"/>
  <c r="E30" i="22"/>
  <c r="E29" i="22"/>
  <c r="E28" i="22"/>
  <c r="U38" i="21"/>
  <c r="U37" i="21"/>
  <c r="U36" i="21"/>
  <c r="U35" i="21"/>
  <c r="U34" i="21"/>
  <c r="U33" i="21"/>
  <c r="U32" i="21"/>
  <c r="U31" i="21"/>
  <c r="U30" i="21"/>
  <c r="U29" i="21"/>
  <c r="U28" i="21"/>
  <c r="Q38" i="21"/>
  <c r="Q37" i="21"/>
  <c r="Q36" i="21"/>
  <c r="Q35" i="21"/>
  <c r="Q34" i="21"/>
  <c r="Q33" i="21"/>
  <c r="Q32" i="21"/>
  <c r="Q31" i="21"/>
  <c r="Q29" i="21"/>
  <c r="Q28" i="21"/>
  <c r="M38" i="21"/>
  <c r="M37" i="21"/>
  <c r="M36" i="21"/>
  <c r="M35" i="21"/>
  <c r="M34" i="21"/>
  <c r="M33" i="21"/>
  <c r="M32" i="21"/>
  <c r="M31" i="21"/>
  <c r="M30" i="21"/>
  <c r="M29" i="21"/>
  <c r="M28" i="21"/>
  <c r="T38" i="21"/>
  <c r="H38" i="21"/>
  <c r="G38" i="21"/>
  <c r="I37" i="21"/>
  <c r="I36" i="21"/>
  <c r="I35" i="21"/>
  <c r="I33" i="21"/>
  <c r="I32" i="21"/>
  <c r="I31" i="21"/>
  <c r="I30" i="21"/>
  <c r="I29" i="21"/>
  <c r="I28" i="21"/>
  <c r="P38" i="21"/>
  <c r="L38" i="21"/>
  <c r="K38" i="21"/>
  <c r="D38" i="21"/>
  <c r="C38" i="21"/>
  <c r="E37" i="21"/>
  <c r="E36" i="21"/>
  <c r="E35" i="21"/>
  <c r="E34" i="21"/>
  <c r="E33" i="21"/>
  <c r="E32" i="21"/>
  <c r="E31" i="21"/>
  <c r="E30" i="21"/>
  <c r="E29" i="21"/>
  <c r="E28" i="21"/>
  <c r="C38" i="20"/>
  <c r="L38" i="19"/>
  <c r="I38" i="19"/>
  <c r="K38" i="19"/>
  <c r="H38" i="19"/>
  <c r="G38" i="19"/>
  <c r="L37" i="19"/>
  <c r="L36" i="19"/>
  <c r="L35" i="19"/>
  <c r="L34" i="19"/>
  <c r="L33" i="19"/>
  <c r="L32" i="19"/>
  <c r="L31" i="19"/>
  <c r="L30" i="19"/>
  <c r="L29" i="19"/>
  <c r="L28" i="19"/>
  <c r="I37" i="19"/>
  <c r="I36" i="19"/>
  <c r="I35" i="19"/>
  <c r="I34" i="19"/>
  <c r="I33" i="19"/>
  <c r="I32" i="19"/>
  <c r="I31" i="19"/>
  <c r="I30" i="19"/>
  <c r="I29" i="19"/>
  <c r="I28" i="19"/>
  <c r="D38" i="19"/>
  <c r="E38" i="19" s="1"/>
  <c r="C38" i="19"/>
  <c r="E37" i="19"/>
  <c r="E36" i="19"/>
  <c r="E35" i="19"/>
  <c r="E34" i="19"/>
  <c r="E33" i="19"/>
  <c r="E32" i="19"/>
  <c r="E31" i="19"/>
  <c r="E30" i="19"/>
  <c r="E29" i="19"/>
  <c r="E28" i="19"/>
  <c r="H38" i="18"/>
  <c r="AK38" i="17"/>
  <c r="AG38" i="17"/>
  <c r="AE38" i="17"/>
  <c r="AB38" i="17"/>
  <c r="Y38" i="17"/>
  <c r="X38" i="17"/>
  <c r="Z37" i="17"/>
  <c r="Z36" i="17"/>
  <c r="Z35" i="17"/>
  <c r="Z34" i="17"/>
  <c r="Z33" i="17"/>
  <c r="Z32" i="17"/>
  <c r="Z31" i="17"/>
  <c r="Z30" i="17"/>
  <c r="Z29" i="17"/>
  <c r="Z28" i="17"/>
  <c r="P38" i="17"/>
  <c r="L38" i="18"/>
  <c r="G38" i="18"/>
  <c r="D38" i="18"/>
  <c r="E38" i="18" s="1"/>
  <c r="C38" i="18"/>
  <c r="E37" i="18"/>
  <c r="E36" i="18"/>
  <c r="E35" i="18"/>
  <c r="E34" i="18"/>
  <c r="E33" i="18"/>
  <c r="E32" i="18"/>
  <c r="E31" i="18"/>
  <c r="E30" i="18"/>
  <c r="E29" i="18"/>
  <c r="E28" i="18"/>
  <c r="L38" i="17"/>
  <c r="G38" i="17"/>
  <c r="D38" i="17"/>
  <c r="C38" i="17"/>
  <c r="E37" i="17"/>
  <c r="E36" i="17"/>
  <c r="E35" i="17"/>
  <c r="E34" i="17"/>
  <c r="E33" i="17"/>
  <c r="E32" i="17"/>
  <c r="E31" i="17"/>
  <c r="E30" i="17"/>
  <c r="E29" i="17"/>
  <c r="E28" i="17"/>
  <c r="L38" i="16"/>
  <c r="M38" i="16" s="1"/>
  <c r="J38" i="16"/>
  <c r="G38" i="16"/>
  <c r="E37" i="16"/>
  <c r="E36" i="16"/>
  <c r="E35" i="16"/>
  <c r="E34" i="16"/>
  <c r="E33" i="16"/>
  <c r="E32" i="16"/>
  <c r="E31" i="16"/>
  <c r="E30" i="16"/>
  <c r="E29" i="16"/>
  <c r="E28" i="16"/>
  <c r="D38" i="16"/>
  <c r="C38" i="16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N8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7" i="15"/>
  <c r="AH38" i="17" l="1"/>
  <c r="Q38" i="17"/>
  <c r="AL38" i="17"/>
  <c r="M38" i="17"/>
  <c r="AF38" i="17"/>
  <c r="M38" i="22"/>
  <c r="K38" i="22"/>
  <c r="I38" i="22"/>
  <c r="O38" i="22"/>
  <c r="W38" i="22"/>
  <c r="K32" i="23"/>
  <c r="S32" i="23"/>
  <c r="K33" i="23"/>
  <c r="AA32" i="23"/>
  <c r="K34" i="23"/>
  <c r="AA33" i="23"/>
  <c r="O29" i="23"/>
  <c r="O31" i="23"/>
  <c r="Y30" i="23"/>
  <c r="Y32" i="23"/>
  <c r="M31" i="23"/>
  <c r="S33" i="23"/>
  <c r="AC32" i="23"/>
  <c r="M32" i="23"/>
  <c r="S34" i="23"/>
  <c r="W30" i="23"/>
  <c r="Y36" i="23"/>
  <c r="AC33" i="23"/>
  <c r="O32" i="23"/>
  <c r="Y31" i="23"/>
  <c r="O34" i="23"/>
  <c r="M33" i="23"/>
  <c r="Q29" i="23"/>
  <c r="S35" i="23"/>
  <c r="W31" i="23"/>
  <c r="AC34" i="23"/>
  <c r="O30" i="23"/>
  <c r="Y29" i="23"/>
  <c r="S29" i="23"/>
  <c r="S30" i="23"/>
  <c r="W29" i="23"/>
  <c r="M34" i="23"/>
  <c r="Q30" i="23"/>
  <c r="S36" i="23"/>
  <c r="W32" i="23"/>
  <c r="AC35" i="23"/>
  <c r="W38" i="23"/>
  <c r="O33" i="23"/>
  <c r="AC29" i="23"/>
  <c r="O35" i="23"/>
  <c r="Y35" i="23"/>
  <c r="K29" i="23"/>
  <c r="M35" i="23"/>
  <c r="Q31" i="23"/>
  <c r="W33" i="23"/>
  <c r="AA29" i="23"/>
  <c r="AC36" i="23"/>
  <c r="K30" i="23"/>
  <c r="Q32" i="23"/>
  <c r="W34" i="23"/>
  <c r="AA30" i="23"/>
  <c r="K31" i="23"/>
  <c r="Q33" i="23"/>
  <c r="U29" i="23"/>
  <c r="AA31" i="23"/>
  <c r="S31" i="23"/>
  <c r="AC30" i="23"/>
  <c r="G38" i="23"/>
  <c r="E38" i="23"/>
  <c r="E38" i="16"/>
  <c r="E38" i="22"/>
  <c r="S38" i="21"/>
  <c r="O38" i="21"/>
  <c r="I38" i="21"/>
  <c r="E38" i="21"/>
  <c r="Z38" i="17"/>
  <c r="E38" i="17"/>
  <c r="AC38" i="23" l="1"/>
  <c r="K38" i="23"/>
  <c r="Q38" i="23"/>
  <c r="M38" i="23"/>
  <c r="S38" i="23"/>
  <c r="Y38" i="23"/>
  <c r="AA38" i="23"/>
  <c r="U38" i="23"/>
  <c r="O38" i="23"/>
</calcChain>
</file>

<file path=xl/sharedStrings.xml><?xml version="1.0" encoding="utf-8"?>
<sst xmlns="http://schemas.openxmlformats.org/spreadsheetml/2006/main" count="1025" uniqueCount="155">
  <si>
    <t>District</t>
  </si>
  <si>
    <t>HHs with data</t>
  </si>
  <si>
    <t>District 1</t>
  </si>
  <si>
    <t>District 2</t>
  </si>
  <si>
    <t>District 3</t>
  </si>
  <si>
    <t>District 4</t>
  </si>
  <si>
    <t>District 5</t>
  </si>
  <si>
    <t>District 6</t>
  </si>
  <si>
    <t>District 7</t>
  </si>
  <si>
    <t>District 8</t>
  </si>
  <si>
    <t>District 9</t>
  </si>
  <si>
    <t>District 10</t>
  </si>
  <si>
    <t>Example of completed table</t>
  </si>
  <si>
    <t>Total</t>
  </si>
  <si>
    <t>No.</t>
  </si>
  <si>
    <t>%</t>
  </si>
  <si>
    <t>Table template</t>
  </si>
  <si>
    <t>Classification</t>
  </si>
  <si>
    <t>Name of district (lot)</t>
  </si>
  <si>
    <t>LQAS Classification</t>
  </si>
  <si>
    <t>Five key indicators (%)</t>
  </si>
  <si>
    <t>Number of HHs with incorrect ITNs
(Denom = 60 HHs)</t>
  </si>
  <si>
    <t>HHs with at least 1 campaign ITN</t>
  </si>
  <si>
    <t>HHs with correct Nb campaign ITNs</t>
  </si>
  <si>
    <t>Population access</t>
  </si>
  <si>
    <t>ITN use, all ages</t>
  </si>
  <si>
    <t>ITN use, &lt;5 yrs</t>
  </si>
  <si>
    <t>Lot 1</t>
  </si>
  <si>
    <t>Lot 2</t>
  </si>
  <si>
    <t>Lot 3</t>
  </si>
  <si>
    <t>Lot 4</t>
  </si>
  <si>
    <t>Lot 5</t>
  </si>
  <si>
    <t>Lot 6</t>
  </si>
  <si>
    <t>Lot 7</t>
  </si>
  <si>
    <t>Lot 8</t>
  </si>
  <si>
    <t>Lot 9</t>
  </si>
  <si>
    <t>Lot 10</t>
  </si>
  <si>
    <t>Lot 11</t>
  </si>
  <si>
    <t>Lot 12</t>
  </si>
  <si>
    <t>Lot 13</t>
  </si>
  <si>
    <t>Lot 14</t>
  </si>
  <si>
    <t>Lot 15</t>
  </si>
  <si>
    <r>
      <rPr>
        <b/>
        <sz val="11"/>
        <color theme="1"/>
        <rFont val="Aptos Narrow"/>
        <family val="2"/>
        <scheme val="minor"/>
      </rPr>
      <t>Data sources: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Participant recall of ITNs received vs participant recall of HHR</t>
    </r>
  </si>
  <si>
    <r>
      <t xml:space="preserve">Decision rules (assuming 60 HH denominator):
</t>
    </r>
    <r>
      <rPr>
        <sz val="11"/>
        <color theme="1"/>
        <rFont val="Aptos Narrow"/>
        <family val="2"/>
        <scheme val="minor"/>
      </rPr>
      <t>0-3 failures = Good
4-8 failures = Uncertain
9+ failures = Inadequate</t>
    </r>
  </si>
  <si>
    <r>
      <rPr>
        <b/>
        <sz val="11"/>
        <color theme="1"/>
        <rFont val="Aptos Narrow"/>
        <family val="2"/>
        <scheme val="minor"/>
      </rPr>
      <t>Classification categories for five key indicators</t>
    </r>
    <r>
      <rPr>
        <sz val="11"/>
        <color theme="1"/>
        <rFont val="Aptos Narrow"/>
        <family val="2"/>
        <scheme val="minor"/>
      </rPr>
      <t xml:space="preserve">
Green: ≥ 90%
Orange: &gt;80% to &lt;90%
Red: ≤80%</t>
    </r>
  </si>
  <si>
    <t>HHs visited by HHR team</t>
  </si>
  <si>
    <t>Reasons why HHs were not visited, among unvisited cases</t>
  </si>
  <si>
    <t>HHR team did not visit the HH</t>
  </si>
  <si>
    <t>HH not present when HHR in community</t>
  </si>
  <si>
    <t>Other
reason(s)</t>
  </si>
  <si>
    <t>Respondent
DKN reason</t>
  </si>
  <si>
    <t>HH refused
to be registered</t>
  </si>
  <si>
    <t>HHR team visits</t>
  </si>
  <si>
    <t>Receipt of any campaign ITN</t>
  </si>
  <si>
    <t>HHs with at least one campaign ITN</t>
  </si>
  <si>
    <t>Reasons why HHs did not receive any campaign ITN, among eligible cases</t>
  </si>
  <si>
    <t>Knew of distribution but unable/forgot to attend</t>
  </si>
  <si>
    <t>Knew of distribution but did not want to attend</t>
  </si>
  <si>
    <t>Did not know distribution was happening</t>
  </si>
  <si>
    <t>Respondent DKN reason</t>
  </si>
  <si>
    <t>Table template (Fixed point distribution)</t>
  </si>
  <si>
    <t>Example of completed table (Fixed point distribution)</t>
  </si>
  <si>
    <t>Table template (Door-to-door distribution)</t>
  </si>
  <si>
    <t>Example of completed table (Door-to-door distribution)</t>
  </si>
  <si>
    <t>No one at home when distribution team visited</t>
  </si>
  <si>
    <t>Correct number of ITNs</t>
  </si>
  <si>
    <t>Reasons why HHs did not receive correct number of ITNs, among eligible cases</t>
  </si>
  <si>
    <t>Unable to determine reason</t>
  </si>
  <si>
    <t>Distribution staff ran out of ITNs</t>
  </si>
  <si>
    <t>Distribution staff rationed ITNs</t>
  </si>
  <si>
    <t>Error in respondent recall of HHR process</t>
  </si>
  <si>
    <t>HHs that received at least one campaign ITN</t>
  </si>
  <si>
    <t>HHs that received correct number of campaign ITNs</t>
  </si>
  <si>
    <t>Number of campaign ITNs received</t>
  </si>
  <si>
    <t>Other ITNs</t>
  </si>
  <si>
    <t>HHs with at least one ITN from another source</t>
  </si>
  <si>
    <t>Campaign ITNs still in HH posession</t>
  </si>
  <si>
    <t>Population ITN access</t>
  </si>
  <si>
    <t>Count of
de facto population</t>
  </si>
  <si>
    <t>Population access to any ITN</t>
  </si>
  <si>
    <t>Population access to campaign ITNs</t>
  </si>
  <si>
    <t>Population access to ITNs from other sources</t>
  </si>
  <si>
    <t>Use of available ITNs</t>
  </si>
  <si>
    <t>Campaign ITNs in household possession</t>
  </si>
  <si>
    <t>Campaign ITNs used for sleeping under</t>
  </si>
  <si>
    <t>Other ITNs in household possession</t>
  </si>
  <si>
    <t>Other ITNs used for sleeping under</t>
  </si>
  <si>
    <t>Population ITN use</t>
  </si>
  <si>
    <t>De facto population of children &lt;5 years</t>
  </si>
  <si>
    <t>De facto population of pregnant women</t>
  </si>
  <si>
    <t>Campaign ITNs used for sleeping under the previous night</t>
  </si>
  <si>
    <t>Other ITNs used for sleeping under the previous night</t>
  </si>
  <si>
    <t>ITN use the previous night</t>
  </si>
  <si>
    <t>-</t>
  </si>
  <si>
    <t>Reasons why people did not sleep under an ITN the previous night, among eligible cases</t>
  </si>
  <si>
    <t>Number of cases</t>
  </si>
  <si>
    <t>Insufficient ITNs for all sleeping spaces</t>
  </si>
  <si>
    <t>Don't like smell</t>
  </si>
  <si>
    <t>Too hot</t>
  </si>
  <si>
    <t>"No malaria" / "No mosquitos"</t>
  </si>
  <si>
    <t>Don't like using an ITN</t>
  </si>
  <si>
    <t>Distribution knowledge</t>
  </si>
  <si>
    <t>Sources of information about the distribution, among eligible cases</t>
  </si>
  <si>
    <t>HHs aware of date AND location of distribution</t>
  </si>
  <si>
    <t>HHs aware of NEITHER date NOR location</t>
  </si>
  <si>
    <t>Campaign staff</t>
  </si>
  <si>
    <t>Health facility staff</t>
  </si>
  <si>
    <t>Town announcer</t>
  </si>
  <si>
    <t>Family / friends</t>
  </si>
  <si>
    <t>Radio</t>
  </si>
  <si>
    <t>TV</t>
  </si>
  <si>
    <t>SMS</t>
  </si>
  <si>
    <t>Newspaper</t>
  </si>
  <si>
    <t>Other</t>
  </si>
  <si>
    <t>Community  / religious leader</t>
  </si>
  <si>
    <t>HH received information about ITNs or malaria</t>
  </si>
  <si>
    <t>SBC message content, among eligible cases</t>
  </si>
  <si>
    <t>Use your net</t>
  </si>
  <si>
    <t>Care for your net</t>
  </si>
  <si>
    <t>Hang up your net</t>
  </si>
  <si>
    <t>Sleep under net every night</t>
  </si>
  <si>
    <t>Nets prevent malaria</t>
  </si>
  <si>
    <t>Repair your net</t>
  </si>
  <si>
    <t xml:space="preserve">% </t>
  </si>
  <si>
    <t>Campaign ITNs still in household possession</t>
  </si>
  <si>
    <t>SBC exposure</t>
  </si>
  <si>
    <t>Slept outside</t>
  </si>
  <si>
    <t>Don't know reason</t>
  </si>
  <si>
    <t>No distribution took place</t>
  </si>
  <si>
    <t>HH occupied but distribution team did not visit</t>
  </si>
  <si>
    <t>Refused ITNs when distribution team visited</t>
  </si>
  <si>
    <t xml:space="preserve">Table 1. Level of campaign coverage and reasons why households did not receive any campaign ITNs, by district
Region: </t>
  </si>
  <si>
    <r>
      <t xml:space="preserve">Table 1. Level of campaign coverage and reasons why households did not receive any campaign ITNs, by district
Region: </t>
    </r>
    <r>
      <rPr>
        <b/>
        <sz val="11"/>
        <color theme="7"/>
        <rFont val="Aptos Narrow"/>
        <family val="2"/>
        <scheme val="minor"/>
      </rPr>
      <t>Region 1</t>
    </r>
  </si>
  <si>
    <t xml:space="preserve">Table 2. Level of correct campaign coverage and reasons why households did not receive correct number of campaign ITNs, by district
Region: </t>
  </si>
  <si>
    <r>
      <t xml:space="preserve">Table 2. Level of correct campaign coverage and reasons why households did not receive correct number of campaign ITNs, by district
Region: </t>
    </r>
    <r>
      <rPr>
        <b/>
        <sz val="11"/>
        <color theme="7"/>
        <rFont val="Aptos Narrow"/>
        <family val="2"/>
        <scheme val="minor"/>
      </rPr>
      <t>Region 1</t>
    </r>
  </si>
  <si>
    <t xml:space="preserve">Table 3. Current household ITN supply, by district
Region: </t>
  </si>
  <si>
    <r>
      <t xml:space="preserve">Table 3. Current household ITN supply, by district
Region: </t>
    </r>
    <r>
      <rPr>
        <b/>
        <sz val="11"/>
        <color theme="7"/>
        <rFont val="Aptos Narrow"/>
        <family val="2"/>
        <scheme val="minor"/>
      </rPr>
      <t>Region 1</t>
    </r>
  </si>
  <si>
    <t xml:space="preserve">Table 4. Population-level ITN access, by district
Region: </t>
  </si>
  <si>
    <t xml:space="preserve">Table 5. Use of available ITNs and level of ITN use among the population, by district
Region: </t>
  </si>
  <si>
    <t xml:space="preserve">Table 6. Reasons why people did not sleep under an ITN the previous night, by district
Region: </t>
  </si>
  <si>
    <r>
      <t xml:space="preserve">Table 6. Reasons why people did not sleep under an ITN the previous night, by district
Region: </t>
    </r>
    <r>
      <rPr>
        <b/>
        <sz val="11"/>
        <color theme="7"/>
        <rFont val="Aptos Narrow"/>
        <family val="2"/>
        <scheme val="minor"/>
      </rPr>
      <t>Region 1</t>
    </r>
  </si>
  <si>
    <r>
      <t xml:space="preserve">Table 5. Use of available ITNs and level of ITN use among the population, by district
Region: </t>
    </r>
    <r>
      <rPr>
        <b/>
        <sz val="11"/>
        <color theme="7"/>
        <rFont val="Aptos Narrow"/>
        <family val="2"/>
        <scheme val="minor"/>
      </rPr>
      <t>Region 1</t>
    </r>
  </si>
  <si>
    <r>
      <t xml:space="preserve">Table 4. Population-level ITN access, by district
Region: </t>
    </r>
    <r>
      <rPr>
        <b/>
        <sz val="11"/>
        <color theme="7"/>
        <rFont val="Aptos Narrow"/>
        <family val="2"/>
        <scheme val="minor"/>
      </rPr>
      <t>Region 1</t>
    </r>
  </si>
  <si>
    <t xml:space="preserve">Table 7. Level and sources of information about the distribution activities, by district
Region: </t>
  </si>
  <si>
    <t>Table 7. Level and sources of information about the distribution activities, by district
Region: Region 1</t>
  </si>
  <si>
    <t xml:space="preserve">Table 8. Level of exposure to SBC messaging and message content, by district
Region: </t>
  </si>
  <si>
    <t>Table 8. Level of exposure to SBC messaging and message content, by district
Region: Region 1</t>
  </si>
  <si>
    <t xml:space="preserve">Table 10. Level of household registration and reasons why households were not registered, by district
Region: </t>
  </si>
  <si>
    <r>
      <t xml:space="preserve">Table 10. Level of household registration and reasons why households were not registered, by district
Region: </t>
    </r>
    <r>
      <rPr>
        <b/>
        <sz val="11"/>
        <color theme="7"/>
        <rFont val="Aptos Narrow"/>
        <family val="2"/>
        <scheme val="minor"/>
      </rPr>
      <t>Region 1</t>
    </r>
  </si>
  <si>
    <t>Table 9. Classification of lots based on receipt of correct number of campaign ITNs.
Region A, May 2025</t>
  </si>
  <si>
    <r>
      <rPr>
        <b/>
        <sz val="10"/>
        <color theme="1"/>
        <rFont val="Aptos Narrow"/>
        <family val="2"/>
        <scheme val="minor"/>
      </rPr>
      <t>Lot definition</t>
    </r>
    <r>
      <rPr>
        <sz val="10"/>
        <color theme="1"/>
        <rFont val="Aptos Narrow"/>
        <family val="2"/>
        <scheme val="minor"/>
      </rPr>
      <t>:</t>
    </r>
    <r>
      <rPr>
        <b/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District
Total row shows weighted regional average</t>
    </r>
  </si>
  <si>
    <t>Lot definition: District
Total row shows weighted regional average</t>
  </si>
  <si>
    <t>Lot definition: District
Total row shows weighted regional average
Population-level ITN access is the percentage of the de facto household population that could sleep under an ITN, assuming each ITN can protect up to two people</t>
  </si>
  <si>
    <t>Lot definition: District
Total row shows weighted regional average
Respondents could cite more than one source of information</t>
  </si>
  <si>
    <t>Lot definition: District
Total row shows weighted regional average
Respondents could cite more than one type of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</si>
</sst>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E8DE"/>
        <bgColor indexed="64"/>
      </patternFill>
    </fill>
    <fill>
      <patternFill patternType="solid">
        <fgColor rgb="FFE0C6AD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22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horizontal="right" wrapText="1" indent="3"/>
    </xf>
    <xf numFmtId="0" fontId="0" fillId="0" borderId="10" xfId="0" applyBorder="1" applyAlignment="1">
      <alignment horizontal="right" wrapText="1" indent="3"/>
    </xf>
    <xf numFmtId="0" fontId="0" fillId="2" borderId="0" xfId="0" applyFill="1"/>
    <xf numFmtId="0" fontId="0" fillId="0" borderId="4" xfId="0" applyBorder="1" applyAlignment="1">
      <alignment horizontal="left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 wrapText="1" indent="2"/>
    </xf>
    <xf numFmtId="0" fontId="0" fillId="0" borderId="9" xfId="0" applyBorder="1" applyAlignment="1">
      <alignment horizontal="right" wrapText="1" indent="2"/>
    </xf>
    <xf numFmtId="9" fontId="0" fillId="0" borderId="11" xfId="1" applyFont="1" applyBorder="1" applyAlignment="1">
      <alignment horizontal="right" wrapText="1" indent="3"/>
    </xf>
    <xf numFmtId="9" fontId="0" fillId="0" borderId="5" xfId="1" applyFont="1" applyBorder="1" applyAlignment="1">
      <alignment horizontal="right" wrapText="1" indent="3"/>
    </xf>
    <xf numFmtId="0" fontId="1" fillId="0" borderId="2" xfId="0" applyFont="1" applyBorder="1" applyAlignment="1">
      <alignment horizontal="right" wrapText="1" indent="1"/>
    </xf>
    <xf numFmtId="0" fontId="0" fillId="0" borderId="8" xfId="0" applyBorder="1" applyAlignment="1">
      <alignment horizontal="right" wrapText="1" indent="2"/>
    </xf>
    <xf numFmtId="9" fontId="0" fillId="0" borderId="3" xfId="1" applyFont="1" applyBorder="1" applyAlignment="1">
      <alignment horizontal="right" wrapText="1" indent="3"/>
    </xf>
    <xf numFmtId="9" fontId="0" fillId="0" borderId="9" xfId="1" applyFont="1" applyBorder="1" applyAlignment="1">
      <alignment horizontal="right" wrapText="1" indent="2"/>
    </xf>
    <xf numFmtId="0" fontId="0" fillId="0" borderId="14" xfId="0" applyBorder="1" applyAlignment="1">
      <alignment horizontal="right" wrapText="1" indent="3"/>
    </xf>
    <xf numFmtId="0" fontId="0" fillId="0" borderId="15" xfId="0" applyBorder="1" applyAlignment="1">
      <alignment horizontal="right" wrapText="1" indent="3"/>
    </xf>
    <xf numFmtId="9" fontId="0" fillId="0" borderId="5" xfId="1" applyFont="1" applyBorder="1" applyAlignment="1">
      <alignment horizontal="right" wrapText="1" indent="2"/>
    </xf>
    <xf numFmtId="0" fontId="0" fillId="0" borderId="15" xfId="0" applyBorder="1" applyAlignment="1">
      <alignment horizontal="right" wrapText="1" indent="2"/>
    </xf>
    <xf numFmtId="0" fontId="0" fillId="0" borderId="14" xfId="0" applyBorder="1" applyAlignment="1">
      <alignment horizontal="right" wrapText="1" indent="2"/>
    </xf>
    <xf numFmtId="9" fontId="0" fillId="0" borderId="11" xfId="1" applyFont="1" applyBorder="1" applyAlignment="1">
      <alignment horizontal="right" wrapText="1" indent="2"/>
    </xf>
    <xf numFmtId="0" fontId="0" fillId="0" borderId="3" xfId="0" applyBorder="1" applyAlignment="1">
      <alignment horizontal="right" wrapText="1" indent="2"/>
    </xf>
    <xf numFmtId="0" fontId="1" fillId="3" borderId="3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1" fillId="3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16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7" xfId="0" applyBorder="1" applyAlignment="1">
      <alignment wrapText="1"/>
    </xf>
    <xf numFmtId="0" fontId="1" fillId="0" borderId="17" xfId="0" applyFont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right" wrapText="1" indent="2"/>
    </xf>
    <xf numFmtId="0" fontId="0" fillId="2" borderId="7" xfId="0" applyFill="1" applyBorder="1" applyAlignment="1">
      <alignment horizontal="right" wrapText="1" indent="2"/>
    </xf>
    <xf numFmtId="0" fontId="0" fillId="0" borderId="21" xfId="0" applyBorder="1" applyAlignment="1">
      <alignment horizontal="right" wrapText="1" indent="3"/>
    </xf>
    <xf numFmtId="0" fontId="0" fillId="0" borderId="20" xfId="0" applyBorder="1" applyAlignment="1">
      <alignment horizontal="right" wrapText="1" indent="3"/>
    </xf>
    <xf numFmtId="9" fontId="0" fillId="0" borderId="7" xfId="1" applyFont="1" applyBorder="1" applyAlignment="1">
      <alignment horizontal="right" wrapText="1" indent="2"/>
    </xf>
    <xf numFmtId="0" fontId="0" fillId="0" borderId="4" xfId="0" applyBorder="1" applyAlignment="1">
      <alignment horizontal="right" wrapText="1" indent="2"/>
    </xf>
    <xf numFmtId="0" fontId="0" fillId="0" borderId="2" xfId="0" applyBorder="1" applyAlignment="1">
      <alignment horizontal="right" wrapText="1" indent="2"/>
    </xf>
    <xf numFmtId="9" fontId="0" fillId="0" borderId="4" xfId="1" applyFont="1" applyBorder="1" applyAlignment="1">
      <alignment horizontal="right" wrapText="1" indent="2"/>
    </xf>
    <xf numFmtId="0" fontId="1" fillId="3" borderId="15" xfId="0" applyFont="1" applyFill="1" applyBorder="1" applyAlignment="1">
      <alignment horizontal="center" wrapText="1"/>
    </xf>
    <xf numFmtId="0" fontId="1" fillId="3" borderId="20" xfId="0" applyFont="1" applyFill="1" applyBorder="1" applyAlignment="1">
      <alignment horizontal="center" wrapText="1"/>
    </xf>
    <xf numFmtId="0" fontId="0" fillId="0" borderId="21" xfId="0" applyBorder="1" applyAlignment="1">
      <alignment horizontal="right" wrapText="1" indent="2"/>
    </xf>
    <xf numFmtId="0" fontId="0" fillId="0" borderId="20" xfId="0" applyBorder="1" applyAlignment="1">
      <alignment horizontal="right" wrapText="1" indent="2"/>
    </xf>
    <xf numFmtId="0" fontId="1" fillId="0" borderId="3" xfId="0" applyFont="1" applyBorder="1" applyAlignment="1">
      <alignment horizontal="right" wrapText="1" indent="2"/>
    </xf>
    <xf numFmtId="0" fontId="1" fillId="0" borderId="15" xfId="0" applyFont="1" applyBorder="1" applyAlignment="1">
      <alignment horizontal="right" wrapText="1" indent="2"/>
    </xf>
    <xf numFmtId="9" fontId="1" fillId="0" borderId="8" xfId="1" applyFont="1" applyBorder="1" applyAlignment="1">
      <alignment horizontal="right" wrapText="1" indent="2"/>
    </xf>
    <xf numFmtId="0" fontId="1" fillId="2" borderId="7" xfId="0" applyFont="1" applyFill="1" applyBorder="1" applyAlignment="1">
      <alignment horizontal="right" wrapText="1" indent="2"/>
    </xf>
    <xf numFmtId="0" fontId="1" fillId="0" borderId="20" xfId="0" applyFont="1" applyBorder="1" applyAlignment="1">
      <alignment horizontal="right" wrapText="1" indent="2"/>
    </xf>
    <xf numFmtId="9" fontId="1" fillId="0" borderId="2" xfId="1" applyFont="1" applyBorder="1" applyAlignment="1">
      <alignment horizontal="right" wrapText="1" indent="2"/>
    </xf>
    <xf numFmtId="0" fontId="1" fillId="0" borderId="8" xfId="0" applyFont="1" applyBorder="1" applyAlignment="1">
      <alignment horizontal="right" wrapText="1" indent="2"/>
    </xf>
    <xf numFmtId="9" fontId="1" fillId="0" borderId="3" xfId="1" applyFont="1" applyBorder="1" applyAlignment="1">
      <alignment horizontal="right" wrapText="1" indent="2"/>
    </xf>
    <xf numFmtId="0" fontId="1" fillId="0" borderId="20" xfId="0" applyFont="1" applyBorder="1" applyAlignment="1">
      <alignment horizontal="right" wrapText="1" indent="3"/>
    </xf>
    <xf numFmtId="0" fontId="1" fillId="0" borderId="15" xfId="0" applyFont="1" applyBorder="1" applyAlignment="1">
      <alignment horizontal="right" wrapText="1" indent="3"/>
    </xf>
    <xf numFmtId="9" fontId="1" fillId="0" borderId="3" xfId="1" applyFont="1" applyBorder="1" applyAlignment="1">
      <alignment horizontal="right" wrapText="1" indent="3"/>
    </xf>
    <xf numFmtId="9" fontId="0" fillId="0" borderId="14" xfId="1" applyFont="1" applyBorder="1" applyAlignment="1">
      <alignment horizontal="right" wrapText="1" indent="2"/>
    </xf>
    <xf numFmtId="9" fontId="0" fillId="2" borderId="0" xfId="1" applyFont="1" applyFill="1"/>
    <xf numFmtId="164" fontId="1" fillId="0" borderId="3" xfId="2" applyNumberFormat="1" applyFont="1" applyBorder="1" applyAlignment="1">
      <alignment horizontal="right" wrapText="1" indent="2"/>
    </xf>
    <xf numFmtId="9" fontId="1" fillId="0" borderId="15" xfId="0" applyNumberFormat="1" applyFont="1" applyBorder="1" applyAlignment="1">
      <alignment horizontal="right" wrapText="1" indent="2"/>
    </xf>
    <xf numFmtId="9" fontId="1" fillId="0" borderId="2" xfId="0" applyNumberFormat="1" applyFont="1" applyBorder="1" applyAlignment="1">
      <alignment horizontal="right" wrapText="1" indent="2"/>
    </xf>
    <xf numFmtId="9" fontId="1" fillId="0" borderId="3" xfId="0" applyNumberFormat="1" applyFont="1" applyBorder="1" applyAlignment="1">
      <alignment horizontal="right" wrapText="1" indent="2"/>
    </xf>
    <xf numFmtId="1" fontId="0" fillId="2" borderId="0" xfId="0" applyNumberFormat="1" applyFill="1"/>
    <xf numFmtId="164" fontId="1" fillId="0" borderId="20" xfId="2" applyNumberFormat="1" applyFont="1" applyBorder="1" applyAlignment="1">
      <alignment horizontal="right" wrapText="1" indent="3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164" fontId="1" fillId="0" borderId="15" xfId="2" applyNumberFormat="1" applyFont="1" applyBorder="1" applyAlignment="1">
      <alignment horizontal="right" wrapText="1" indent="2"/>
    </xf>
    <xf numFmtId="164" fontId="0" fillId="0" borderId="5" xfId="0" applyNumberFormat="1" applyBorder="1" applyAlignment="1">
      <alignment horizontal="right" wrapText="1" indent="2"/>
    </xf>
    <xf numFmtId="164" fontId="0" fillId="0" borderId="14" xfId="0" applyNumberFormat="1" applyBorder="1" applyAlignment="1">
      <alignment horizontal="right" wrapText="1" indent="2"/>
    </xf>
    <xf numFmtId="164" fontId="0" fillId="0" borderId="4" xfId="0" applyNumberFormat="1" applyBorder="1" applyAlignment="1">
      <alignment horizontal="right" wrapText="1" indent="2"/>
    </xf>
    <xf numFmtId="164" fontId="0" fillId="0" borderId="21" xfId="0" applyNumberFormat="1" applyBorder="1" applyAlignment="1">
      <alignment horizontal="right" wrapText="1" indent="2"/>
    </xf>
    <xf numFmtId="9" fontId="1" fillId="0" borderId="8" xfId="0" applyNumberFormat="1" applyFont="1" applyBorder="1" applyAlignment="1">
      <alignment horizontal="right" wrapText="1" indent="2"/>
    </xf>
    <xf numFmtId="164" fontId="1" fillId="0" borderId="8" xfId="2" applyNumberFormat="1" applyFont="1" applyBorder="1" applyAlignment="1">
      <alignment horizontal="right" wrapText="1" indent="2"/>
    </xf>
    <xf numFmtId="0" fontId="0" fillId="0" borderId="0" xfId="0" applyAlignment="1">
      <alignment horizontal="right" wrapText="1" indent="3"/>
    </xf>
    <xf numFmtId="0" fontId="0" fillId="0" borderId="1" xfId="0" applyBorder="1" applyAlignment="1">
      <alignment horizontal="right" wrapText="1" indent="3"/>
    </xf>
    <xf numFmtId="0" fontId="0" fillId="0" borderId="5" xfId="0" applyBorder="1" applyAlignment="1">
      <alignment horizontal="right" wrapText="1" indent="3"/>
    </xf>
    <xf numFmtId="0" fontId="0" fillId="0" borderId="3" xfId="0" applyBorder="1" applyAlignment="1">
      <alignment horizontal="right" wrapText="1" indent="3"/>
    </xf>
    <xf numFmtId="0" fontId="0" fillId="0" borderId="8" xfId="0" applyBorder="1" applyAlignment="1">
      <alignment horizontal="right" wrapText="1" indent="3"/>
    </xf>
    <xf numFmtId="1" fontId="0" fillId="0" borderId="14" xfId="1" applyNumberFormat="1" applyFont="1" applyBorder="1" applyAlignment="1">
      <alignment horizontal="right" wrapText="1" indent="2"/>
    </xf>
    <xf numFmtId="1" fontId="0" fillId="0" borderId="9" xfId="1" applyNumberFormat="1" applyFont="1" applyBorder="1" applyAlignment="1">
      <alignment horizontal="right" wrapText="1" indent="2"/>
    </xf>
    <xf numFmtId="1" fontId="1" fillId="0" borderId="8" xfId="0" applyNumberFormat="1" applyFont="1" applyBorder="1" applyAlignment="1">
      <alignment horizontal="right" wrapText="1" indent="2"/>
    </xf>
    <xf numFmtId="1" fontId="1" fillId="0" borderId="8" xfId="1" applyNumberFormat="1" applyFont="1" applyBorder="1" applyAlignment="1">
      <alignment horizontal="right" wrapText="1" indent="2"/>
    </xf>
    <xf numFmtId="9" fontId="0" fillId="0" borderId="22" xfId="1" applyFont="1" applyBorder="1" applyAlignment="1">
      <alignment horizontal="right" wrapText="1" indent="3"/>
    </xf>
    <xf numFmtId="9" fontId="0" fillId="0" borderId="9" xfId="1" applyFont="1" applyBorder="1" applyAlignment="1">
      <alignment horizontal="right" wrapText="1" indent="3"/>
    </xf>
    <xf numFmtId="9" fontId="0" fillId="0" borderId="8" xfId="1" applyFont="1" applyBorder="1" applyAlignment="1">
      <alignment horizontal="right" wrapText="1" indent="3"/>
    </xf>
    <xf numFmtId="9" fontId="0" fillId="0" borderId="9" xfId="0" applyNumberFormat="1" applyBorder="1" applyAlignment="1">
      <alignment horizontal="right" wrapText="1" indent="2"/>
    </xf>
    <xf numFmtId="9" fontId="0" fillId="0" borderId="0" xfId="0" applyNumberFormat="1" applyAlignment="1">
      <alignment horizontal="right" wrapText="1" indent="2"/>
    </xf>
    <xf numFmtId="9" fontId="0" fillId="0" borderId="22" xfId="1" applyFont="1" applyBorder="1" applyAlignment="1">
      <alignment horizontal="right" wrapText="1" indent="2"/>
    </xf>
    <xf numFmtId="0" fontId="0" fillId="0" borderId="5" xfId="0" applyBorder="1" applyAlignment="1">
      <alignment horizontal="right" wrapText="1" indent="1"/>
    </xf>
    <xf numFmtId="9" fontId="0" fillId="0" borderId="9" xfId="0" applyNumberFormat="1" applyBorder="1" applyAlignment="1">
      <alignment horizontal="right" wrapText="1" indent="1"/>
    </xf>
    <xf numFmtId="9" fontId="0" fillId="0" borderId="5" xfId="0" applyNumberFormat="1" applyBorder="1" applyAlignment="1">
      <alignment horizontal="right" wrapText="1" indent="1"/>
    </xf>
    <xf numFmtId="9" fontId="1" fillId="0" borderId="1" xfId="0" applyNumberFormat="1" applyFont="1" applyBorder="1" applyAlignment="1">
      <alignment horizontal="right" wrapText="1" indent="2"/>
    </xf>
    <xf numFmtId="0" fontId="1" fillId="0" borderId="3" xfId="0" applyFont="1" applyBorder="1" applyAlignment="1">
      <alignment horizontal="right" wrapText="1" indent="1"/>
    </xf>
    <xf numFmtId="9" fontId="1" fillId="0" borderId="8" xfId="0" applyNumberFormat="1" applyFont="1" applyBorder="1" applyAlignment="1">
      <alignment horizontal="right" wrapText="1" indent="1"/>
    </xf>
    <xf numFmtId="9" fontId="1" fillId="0" borderId="3" xfId="0" applyNumberFormat="1" applyFont="1" applyBorder="1" applyAlignment="1">
      <alignment horizontal="right" wrapText="1" indent="1"/>
    </xf>
    <xf numFmtId="164" fontId="1" fillId="0" borderId="20" xfId="0" applyNumberFormat="1" applyFont="1" applyBorder="1" applyAlignment="1">
      <alignment horizontal="right" wrapText="1" indent="2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6">
    <dxf>
      <font>
        <color rgb="FF00B050"/>
      </font>
    </dxf>
    <dxf>
      <font>
        <color rgb="FF9C0006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0C6AD"/>
      <color rgb="FFF2E8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8FE2-1155-4873-9FF8-DEF21FDEE191}">
  <dimension ref="B2:AN39"/>
  <sheetViews>
    <sheetView tabSelected="1" zoomScaleNormal="100" workbookViewId="0"/>
  </sheetViews>
  <sheetFormatPr defaultColWidth="9.140625" defaultRowHeight="15" x14ac:dyDescent="0.25"/>
  <cols>
    <col min="1" max="1" width="9.140625" style="7"/>
    <col min="2" max="2" width="14.28515625" style="7" customWidth="1"/>
    <col min="3" max="5" width="10" style="7" customWidth="1"/>
    <col min="6" max="6" width="1.42578125" style="7" customWidth="1"/>
    <col min="7" max="21" width="10" style="7" customWidth="1"/>
    <col min="22" max="22" width="9.140625" style="7"/>
    <col min="23" max="23" width="14.28515625" style="7" customWidth="1"/>
    <col min="24" max="26" width="10" style="7" customWidth="1"/>
    <col min="27" max="27" width="1.42578125" style="7" customWidth="1"/>
    <col min="28" max="38" width="10" style="7" customWidth="1"/>
    <col min="39" max="16384" width="9.140625" style="7"/>
  </cols>
  <sheetData>
    <row r="2" spans="2:40" x14ac:dyDescent="0.25">
      <c r="B2" s="102" t="s">
        <v>60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W2" s="102" t="s">
        <v>62</v>
      </c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</row>
    <row r="3" spans="2:40" x14ac:dyDescent="0.25"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</row>
    <row r="4" spans="2:40" ht="33.75" customHeight="1" x14ac:dyDescent="0.25">
      <c r="B4" s="104" t="s">
        <v>131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W4" s="104" t="s">
        <v>131</v>
      </c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</row>
    <row r="5" spans="2:40" ht="15" customHeight="1" x14ac:dyDescent="0.25">
      <c r="B5" s="9"/>
      <c r="C5" s="105" t="s">
        <v>53</v>
      </c>
      <c r="D5" s="105"/>
      <c r="E5" s="105"/>
      <c r="F5" s="36"/>
      <c r="G5" s="105" t="s">
        <v>55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W5" s="9"/>
      <c r="X5" s="105" t="s">
        <v>53</v>
      </c>
      <c r="Y5" s="105"/>
      <c r="Z5" s="105"/>
      <c r="AA5" s="36"/>
      <c r="AB5" s="105" t="s">
        <v>55</v>
      </c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</row>
    <row r="6" spans="2:40" ht="48.75" customHeight="1" x14ac:dyDescent="0.25">
      <c r="B6" s="106" t="s">
        <v>0</v>
      </c>
      <c r="C6" s="108" t="s">
        <v>1</v>
      </c>
      <c r="D6" s="110" t="s">
        <v>71</v>
      </c>
      <c r="E6" s="111"/>
      <c r="F6" s="37"/>
      <c r="G6" s="108" t="s">
        <v>1</v>
      </c>
      <c r="H6" s="110" t="s">
        <v>128</v>
      </c>
      <c r="I6" s="113"/>
      <c r="J6" s="112" t="s">
        <v>129</v>
      </c>
      <c r="K6" s="111"/>
      <c r="L6" s="112" t="s">
        <v>56</v>
      </c>
      <c r="M6" s="111"/>
      <c r="N6" s="112" t="s">
        <v>57</v>
      </c>
      <c r="O6" s="111"/>
      <c r="P6" s="112" t="s">
        <v>58</v>
      </c>
      <c r="Q6" s="111"/>
      <c r="R6" s="112" t="s">
        <v>59</v>
      </c>
      <c r="S6" s="111"/>
      <c r="T6" s="112" t="s">
        <v>49</v>
      </c>
      <c r="U6" s="113"/>
      <c r="W6" s="106" t="s">
        <v>0</v>
      </c>
      <c r="X6" s="108" t="s">
        <v>1</v>
      </c>
      <c r="Y6" s="110" t="s">
        <v>54</v>
      </c>
      <c r="Z6" s="111"/>
      <c r="AA6" s="37"/>
      <c r="AB6" s="108" t="s">
        <v>1</v>
      </c>
      <c r="AC6" s="110" t="s">
        <v>128</v>
      </c>
      <c r="AD6" s="113"/>
      <c r="AE6" s="112" t="s">
        <v>129</v>
      </c>
      <c r="AF6" s="111"/>
      <c r="AG6" s="112" t="s">
        <v>64</v>
      </c>
      <c r="AH6" s="111"/>
      <c r="AI6" s="112" t="s">
        <v>130</v>
      </c>
      <c r="AJ6" s="111"/>
      <c r="AK6" s="112" t="s">
        <v>59</v>
      </c>
      <c r="AL6" s="111"/>
      <c r="AM6" s="112" t="s">
        <v>49</v>
      </c>
      <c r="AN6" s="113"/>
    </row>
    <row r="7" spans="2:40" x14ac:dyDescent="0.25">
      <c r="B7" s="107"/>
      <c r="C7" s="109"/>
      <c r="D7" s="27" t="s">
        <v>14</v>
      </c>
      <c r="E7" s="28" t="s">
        <v>15</v>
      </c>
      <c r="F7" s="38"/>
      <c r="G7" s="109"/>
      <c r="H7" s="27" t="s">
        <v>14</v>
      </c>
      <c r="I7" s="25" t="s">
        <v>15</v>
      </c>
      <c r="J7" s="25" t="s">
        <v>14</v>
      </c>
      <c r="K7" s="28" t="s">
        <v>15</v>
      </c>
      <c r="L7" s="25" t="s">
        <v>14</v>
      </c>
      <c r="M7" s="25" t="s">
        <v>15</v>
      </c>
      <c r="N7" s="25" t="s">
        <v>14</v>
      </c>
      <c r="O7" s="25" t="s">
        <v>15</v>
      </c>
      <c r="P7" s="25" t="s">
        <v>14</v>
      </c>
      <c r="Q7" s="25" t="s">
        <v>15</v>
      </c>
      <c r="R7" s="25"/>
      <c r="S7" s="25"/>
      <c r="T7" s="25" t="s">
        <v>14</v>
      </c>
      <c r="U7" s="25" t="s">
        <v>15</v>
      </c>
      <c r="W7" s="107"/>
      <c r="X7" s="109"/>
      <c r="Y7" s="27" t="s">
        <v>14</v>
      </c>
      <c r="Z7" s="28" t="s">
        <v>15</v>
      </c>
      <c r="AA7" s="38"/>
      <c r="AB7" s="109"/>
      <c r="AC7" s="27" t="s">
        <v>14</v>
      </c>
      <c r="AD7" s="25" t="s">
        <v>15</v>
      </c>
      <c r="AE7" s="25" t="s">
        <v>14</v>
      </c>
      <c r="AF7" s="28" t="s">
        <v>15</v>
      </c>
      <c r="AG7" s="25" t="s">
        <v>14</v>
      </c>
      <c r="AH7" s="25" t="s">
        <v>15</v>
      </c>
      <c r="AI7" s="25" t="s">
        <v>14</v>
      </c>
      <c r="AJ7" s="25" t="s">
        <v>15</v>
      </c>
      <c r="AK7" s="25"/>
      <c r="AL7" s="25"/>
      <c r="AM7" s="25" t="s">
        <v>14</v>
      </c>
      <c r="AN7" s="25" t="s">
        <v>15</v>
      </c>
    </row>
    <row r="8" spans="2:40" ht="18.75" customHeight="1" x14ac:dyDescent="0.25">
      <c r="B8" s="8"/>
      <c r="C8" s="10"/>
      <c r="D8" s="22"/>
      <c r="E8" s="11"/>
      <c r="F8" s="39"/>
      <c r="G8" s="41"/>
      <c r="H8" s="18"/>
      <c r="I8" s="12"/>
      <c r="J8" s="11"/>
      <c r="K8" s="12"/>
      <c r="L8" s="11"/>
      <c r="M8" s="11"/>
      <c r="N8" s="11"/>
      <c r="O8" s="11"/>
      <c r="P8" s="11"/>
      <c r="Q8" s="11"/>
      <c r="R8" s="11"/>
      <c r="S8" s="11"/>
      <c r="T8" s="11"/>
      <c r="U8" s="10"/>
      <c r="W8" s="8"/>
      <c r="X8" s="10"/>
      <c r="Y8" s="22"/>
      <c r="Z8" s="11"/>
      <c r="AA8" s="39"/>
      <c r="AB8" s="41"/>
      <c r="AC8" s="18"/>
      <c r="AD8" s="12"/>
      <c r="AE8" s="11"/>
      <c r="AF8" s="12"/>
      <c r="AG8" s="11"/>
      <c r="AH8" s="11"/>
      <c r="AI8" s="11"/>
      <c r="AJ8" s="11"/>
      <c r="AK8" s="11"/>
      <c r="AL8" s="11"/>
      <c r="AM8" s="11"/>
      <c r="AN8" s="10"/>
    </row>
    <row r="9" spans="2:40" ht="18.75" customHeight="1" x14ac:dyDescent="0.25">
      <c r="B9" s="8"/>
      <c r="C9" s="10"/>
      <c r="D9" s="22"/>
      <c r="E9" s="11"/>
      <c r="F9" s="39"/>
      <c r="G9" s="41"/>
      <c r="H9" s="18"/>
      <c r="I9" s="13"/>
      <c r="J9" s="11"/>
      <c r="K9" s="13"/>
      <c r="L9" s="11"/>
      <c r="M9" s="11"/>
      <c r="N9" s="11"/>
      <c r="O9" s="11"/>
      <c r="P9" s="11"/>
      <c r="Q9" s="11"/>
      <c r="R9" s="11"/>
      <c r="S9" s="11"/>
      <c r="T9" s="11"/>
      <c r="U9" s="10"/>
      <c r="W9" s="8"/>
      <c r="X9" s="10"/>
      <c r="Y9" s="22"/>
      <c r="Z9" s="11"/>
      <c r="AA9" s="39"/>
      <c r="AB9" s="41"/>
      <c r="AC9" s="18"/>
      <c r="AD9" s="13"/>
      <c r="AE9" s="11"/>
      <c r="AF9" s="13"/>
      <c r="AG9" s="11"/>
      <c r="AH9" s="11"/>
      <c r="AI9" s="11"/>
      <c r="AJ9" s="11"/>
      <c r="AK9" s="11"/>
      <c r="AL9" s="11"/>
      <c r="AM9" s="11"/>
      <c r="AN9" s="10"/>
    </row>
    <row r="10" spans="2:40" ht="18.75" customHeight="1" x14ac:dyDescent="0.25">
      <c r="B10" s="8"/>
      <c r="C10" s="10"/>
      <c r="D10" s="22"/>
      <c r="E10" s="11"/>
      <c r="F10" s="39"/>
      <c r="G10" s="41"/>
      <c r="H10" s="18"/>
      <c r="I10" s="13"/>
      <c r="J10" s="11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0"/>
      <c r="W10" s="8"/>
      <c r="X10" s="10"/>
      <c r="Y10" s="22"/>
      <c r="Z10" s="11"/>
      <c r="AA10" s="39"/>
      <c r="AB10" s="41"/>
      <c r="AC10" s="18"/>
      <c r="AD10" s="13"/>
      <c r="AE10" s="11"/>
      <c r="AF10" s="13"/>
      <c r="AG10" s="11"/>
      <c r="AH10" s="11"/>
      <c r="AI10" s="11"/>
      <c r="AJ10" s="11"/>
      <c r="AK10" s="11"/>
      <c r="AL10" s="11"/>
      <c r="AM10" s="11"/>
      <c r="AN10" s="10"/>
    </row>
    <row r="11" spans="2:40" ht="18.75" customHeight="1" x14ac:dyDescent="0.25">
      <c r="B11" s="8"/>
      <c r="C11" s="10"/>
      <c r="D11" s="22"/>
      <c r="E11" s="11"/>
      <c r="F11" s="39"/>
      <c r="G11" s="41"/>
      <c r="H11" s="18"/>
      <c r="I11" s="13"/>
      <c r="J11" s="11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0"/>
      <c r="W11" s="8"/>
      <c r="X11" s="10"/>
      <c r="Y11" s="22"/>
      <c r="Z11" s="11"/>
      <c r="AA11" s="39"/>
      <c r="AB11" s="41"/>
      <c r="AC11" s="18"/>
      <c r="AD11" s="13"/>
      <c r="AE11" s="11"/>
      <c r="AF11" s="13"/>
      <c r="AG11" s="11"/>
      <c r="AH11" s="11"/>
      <c r="AI11" s="11"/>
      <c r="AJ11" s="11"/>
      <c r="AK11" s="11"/>
      <c r="AL11" s="11"/>
      <c r="AM11" s="11"/>
      <c r="AN11" s="10"/>
    </row>
    <row r="12" spans="2:40" ht="18.75" customHeight="1" x14ac:dyDescent="0.25">
      <c r="B12" s="8"/>
      <c r="C12" s="10"/>
      <c r="D12" s="22"/>
      <c r="E12" s="11"/>
      <c r="F12" s="39"/>
      <c r="G12" s="41"/>
      <c r="H12" s="18"/>
      <c r="I12" s="13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0"/>
      <c r="W12" s="8"/>
      <c r="X12" s="10"/>
      <c r="Y12" s="22"/>
      <c r="Z12" s="11"/>
      <c r="AA12" s="39"/>
      <c r="AB12" s="41"/>
      <c r="AC12" s="18"/>
      <c r="AD12" s="13"/>
      <c r="AE12" s="11"/>
      <c r="AF12" s="13"/>
      <c r="AG12" s="11"/>
      <c r="AH12" s="11"/>
      <c r="AI12" s="11"/>
      <c r="AJ12" s="11"/>
      <c r="AK12" s="11"/>
      <c r="AL12" s="11"/>
      <c r="AM12" s="11"/>
      <c r="AN12" s="10"/>
    </row>
    <row r="13" spans="2:40" ht="18.75" customHeight="1" x14ac:dyDescent="0.25">
      <c r="B13" s="8"/>
      <c r="C13" s="10"/>
      <c r="D13" s="22"/>
      <c r="E13" s="11"/>
      <c r="F13" s="39"/>
      <c r="G13" s="41"/>
      <c r="H13" s="18"/>
      <c r="I13" s="13"/>
      <c r="J13" s="11"/>
      <c r="K13" s="13"/>
      <c r="L13" s="11"/>
      <c r="M13" s="11"/>
      <c r="N13" s="11"/>
      <c r="O13" s="11"/>
      <c r="P13" s="11"/>
      <c r="Q13" s="11"/>
      <c r="R13" s="11"/>
      <c r="S13" s="11"/>
      <c r="T13" s="11"/>
      <c r="U13" s="10"/>
      <c r="W13" s="8"/>
      <c r="X13" s="10"/>
      <c r="Y13" s="22"/>
      <c r="Z13" s="11"/>
      <c r="AA13" s="39"/>
      <c r="AB13" s="41"/>
      <c r="AC13" s="18"/>
      <c r="AD13" s="13"/>
      <c r="AE13" s="11"/>
      <c r="AF13" s="13"/>
      <c r="AG13" s="11"/>
      <c r="AH13" s="11"/>
      <c r="AI13" s="11"/>
      <c r="AJ13" s="11"/>
      <c r="AK13" s="11"/>
      <c r="AL13" s="11"/>
      <c r="AM13" s="11"/>
      <c r="AN13" s="10"/>
    </row>
    <row r="14" spans="2:40" ht="18.75" customHeight="1" x14ac:dyDescent="0.25">
      <c r="B14" s="8"/>
      <c r="C14" s="10"/>
      <c r="D14" s="22"/>
      <c r="E14" s="11"/>
      <c r="F14" s="39"/>
      <c r="G14" s="41"/>
      <c r="H14" s="18"/>
      <c r="I14" s="13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0"/>
      <c r="W14" s="8"/>
      <c r="X14" s="10"/>
      <c r="Y14" s="22"/>
      <c r="Z14" s="11"/>
      <c r="AA14" s="39"/>
      <c r="AB14" s="41"/>
      <c r="AC14" s="18"/>
      <c r="AD14" s="13"/>
      <c r="AE14" s="11"/>
      <c r="AF14" s="13"/>
      <c r="AG14" s="11"/>
      <c r="AH14" s="11"/>
      <c r="AI14" s="11"/>
      <c r="AJ14" s="11"/>
      <c r="AK14" s="11"/>
      <c r="AL14" s="11"/>
      <c r="AM14" s="11"/>
      <c r="AN14" s="10"/>
    </row>
    <row r="15" spans="2:40" ht="18.75" customHeight="1" x14ac:dyDescent="0.25">
      <c r="B15" s="8"/>
      <c r="C15" s="10"/>
      <c r="D15" s="22"/>
      <c r="E15" s="11"/>
      <c r="F15" s="39"/>
      <c r="G15" s="41"/>
      <c r="H15" s="18"/>
      <c r="I15" s="13"/>
      <c r="J15" s="11"/>
      <c r="K15" s="13"/>
      <c r="L15" s="11"/>
      <c r="M15" s="11"/>
      <c r="N15" s="11"/>
      <c r="O15" s="11"/>
      <c r="P15" s="11"/>
      <c r="Q15" s="11"/>
      <c r="R15" s="11"/>
      <c r="S15" s="11"/>
      <c r="T15" s="11"/>
      <c r="U15" s="10"/>
      <c r="W15" s="8"/>
      <c r="X15" s="10"/>
      <c r="Y15" s="22"/>
      <c r="Z15" s="11"/>
      <c r="AA15" s="39"/>
      <c r="AB15" s="41"/>
      <c r="AC15" s="18"/>
      <c r="AD15" s="13"/>
      <c r="AE15" s="11"/>
      <c r="AF15" s="13"/>
      <c r="AG15" s="11"/>
      <c r="AH15" s="11"/>
      <c r="AI15" s="11"/>
      <c r="AJ15" s="11"/>
      <c r="AK15" s="11"/>
      <c r="AL15" s="11"/>
      <c r="AM15" s="11"/>
      <c r="AN15" s="10"/>
    </row>
    <row r="16" spans="2:40" ht="18.75" customHeight="1" x14ac:dyDescent="0.25">
      <c r="B16" s="8"/>
      <c r="C16" s="10"/>
      <c r="D16" s="22"/>
      <c r="E16" s="11"/>
      <c r="F16" s="39"/>
      <c r="G16" s="41"/>
      <c r="H16" s="18"/>
      <c r="I16" s="13"/>
      <c r="J16" s="11"/>
      <c r="K16" s="13"/>
      <c r="L16" s="11"/>
      <c r="M16" s="11"/>
      <c r="N16" s="11"/>
      <c r="O16" s="11"/>
      <c r="P16" s="11"/>
      <c r="Q16" s="11"/>
      <c r="R16" s="11"/>
      <c r="S16" s="11"/>
      <c r="T16" s="11"/>
      <c r="U16" s="10"/>
      <c r="W16" s="8"/>
      <c r="X16" s="10"/>
      <c r="Y16" s="22"/>
      <c r="Z16" s="11"/>
      <c r="AA16" s="39"/>
      <c r="AB16" s="41"/>
      <c r="AC16" s="18"/>
      <c r="AD16" s="13"/>
      <c r="AE16" s="11"/>
      <c r="AF16" s="13"/>
      <c r="AG16" s="11"/>
      <c r="AH16" s="11"/>
      <c r="AI16" s="11"/>
      <c r="AJ16" s="11"/>
      <c r="AK16" s="11"/>
      <c r="AL16" s="11"/>
      <c r="AM16" s="11"/>
      <c r="AN16" s="10"/>
    </row>
    <row r="17" spans="2:40" ht="18.75" customHeight="1" x14ac:dyDescent="0.25">
      <c r="B17" s="8"/>
      <c r="C17" s="10"/>
      <c r="D17" s="22"/>
      <c r="E17" s="11"/>
      <c r="F17" s="39"/>
      <c r="G17" s="41"/>
      <c r="H17" s="18"/>
      <c r="I17" s="13"/>
      <c r="J17" s="11"/>
      <c r="K17" s="13"/>
      <c r="L17" s="11"/>
      <c r="M17" s="11"/>
      <c r="N17" s="11"/>
      <c r="O17" s="11"/>
      <c r="P17" s="11"/>
      <c r="Q17" s="11"/>
      <c r="R17" s="11"/>
      <c r="S17" s="11"/>
      <c r="T17" s="11"/>
      <c r="U17" s="10"/>
      <c r="W17" s="8"/>
      <c r="X17" s="10"/>
      <c r="Y17" s="22"/>
      <c r="Z17" s="11"/>
      <c r="AA17" s="39"/>
      <c r="AB17" s="41"/>
      <c r="AC17" s="18"/>
      <c r="AD17" s="13"/>
      <c r="AE17" s="11"/>
      <c r="AF17" s="13"/>
      <c r="AG17" s="11"/>
      <c r="AH17" s="11"/>
      <c r="AI17" s="11"/>
      <c r="AJ17" s="11"/>
      <c r="AK17" s="11"/>
      <c r="AL17" s="11"/>
      <c r="AM17" s="11"/>
      <c r="AN17" s="10"/>
    </row>
    <row r="18" spans="2:40" ht="18.75" customHeight="1" x14ac:dyDescent="0.25">
      <c r="B18" s="14" t="s">
        <v>13</v>
      </c>
      <c r="C18" s="24"/>
      <c r="D18" s="21"/>
      <c r="E18" s="15"/>
      <c r="F18" s="40"/>
      <c r="G18" s="42"/>
      <c r="H18" s="19"/>
      <c r="I18" s="16"/>
      <c r="J18" s="15"/>
      <c r="K18" s="16"/>
      <c r="L18" s="15"/>
      <c r="M18" s="15"/>
      <c r="N18" s="15"/>
      <c r="O18" s="15"/>
      <c r="P18" s="15"/>
      <c r="Q18" s="15"/>
      <c r="R18" s="15"/>
      <c r="S18" s="15"/>
      <c r="T18" s="15"/>
      <c r="U18" s="24"/>
      <c r="W18" s="14" t="s">
        <v>13</v>
      </c>
      <c r="X18" s="24"/>
      <c r="Y18" s="21"/>
      <c r="Z18" s="15"/>
      <c r="AA18" s="40"/>
      <c r="AB18" s="42"/>
      <c r="AC18" s="19"/>
      <c r="AD18" s="16"/>
      <c r="AE18" s="15"/>
      <c r="AF18" s="16"/>
      <c r="AG18" s="15"/>
      <c r="AH18" s="15"/>
      <c r="AI18" s="15"/>
      <c r="AJ18" s="15"/>
      <c r="AK18" s="15"/>
      <c r="AL18" s="15"/>
      <c r="AM18" s="15"/>
      <c r="AN18" s="24"/>
    </row>
    <row r="19" spans="2:40" ht="30" customHeight="1" x14ac:dyDescent="0.25">
      <c r="B19" s="114" t="s">
        <v>150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W19" s="114" t="s">
        <v>151</v>
      </c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</row>
    <row r="20" spans="2:40" ht="18.75" customHeight="1" x14ac:dyDescent="0.25"/>
    <row r="21" spans="2:40" ht="18.75" customHeight="1" x14ac:dyDescent="0.25"/>
    <row r="22" spans="2:40" x14ac:dyDescent="0.25">
      <c r="B22" s="102" t="s">
        <v>61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W22" s="102" t="s">
        <v>63</v>
      </c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</row>
    <row r="23" spans="2:40" x14ac:dyDescent="0.25"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W23" s="102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</row>
    <row r="24" spans="2:40" ht="33.75" customHeight="1" x14ac:dyDescent="0.25">
      <c r="B24" s="104" t="s">
        <v>132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W24" s="104" t="s">
        <v>132</v>
      </c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</row>
    <row r="25" spans="2:40" ht="15" customHeight="1" x14ac:dyDescent="0.25">
      <c r="B25" s="9"/>
      <c r="C25" s="105" t="s">
        <v>53</v>
      </c>
      <c r="D25" s="105"/>
      <c r="E25" s="105"/>
      <c r="F25" s="36"/>
      <c r="G25" s="105" t="s">
        <v>55</v>
      </c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W25" s="9"/>
      <c r="X25" s="105" t="s">
        <v>53</v>
      </c>
      <c r="Y25" s="105"/>
      <c r="Z25" s="105"/>
      <c r="AA25" s="36"/>
      <c r="AB25" s="105" t="s">
        <v>55</v>
      </c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</row>
    <row r="26" spans="2:40" ht="48.75" customHeight="1" x14ac:dyDescent="0.25">
      <c r="B26" s="106" t="s">
        <v>0</v>
      </c>
      <c r="C26" s="108" t="s">
        <v>1</v>
      </c>
      <c r="D26" s="110" t="s">
        <v>71</v>
      </c>
      <c r="E26" s="111"/>
      <c r="F26" s="37"/>
      <c r="G26" s="108" t="s">
        <v>1</v>
      </c>
      <c r="H26" s="110" t="s">
        <v>128</v>
      </c>
      <c r="I26" s="113"/>
      <c r="J26" s="112" t="s">
        <v>129</v>
      </c>
      <c r="K26" s="111"/>
      <c r="L26" s="112" t="s">
        <v>56</v>
      </c>
      <c r="M26" s="111"/>
      <c r="N26" s="112" t="s">
        <v>57</v>
      </c>
      <c r="O26" s="111"/>
      <c r="P26" s="112" t="s">
        <v>58</v>
      </c>
      <c r="Q26" s="111"/>
      <c r="R26" s="112" t="s">
        <v>59</v>
      </c>
      <c r="S26" s="111"/>
      <c r="T26" s="112" t="s">
        <v>49</v>
      </c>
      <c r="U26" s="113"/>
      <c r="W26" s="106" t="s">
        <v>0</v>
      </c>
      <c r="X26" s="108" t="s">
        <v>1</v>
      </c>
      <c r="Y26" s="110" t="s">
        <v>54</v>
      </c>
      <c r="Z26" s="111"/>
      <c r="AA26" s="37"/>
      <c r="AB26" s="108" t="s">
        <v>1</v>
      </c>
      <c r="AC26" s="110" t="s">
        <v>128</v>
      </c>
      <c r="AD26" s="113"/>
      <c r="AE26" s="112" t="s">
        <v>129</v>
      </c>
      <c r="AF26" s="111"/>
      <c r="AG26" s="112" t="s">
        <v>64</v>
      </c>
      <c r="AH26" s="111"/>
      <c r="AI26" s="112" t="s">
        <v>130</v>
      </c>
      <c r="AJ26" s="111"/>
      <c r="AK26" s="112" t="s">
        <v>59</v>
      </c>
      <c r="AL26" s="111"/>
      <c r="AM26" s="112" t="s">
        <v>49</v>
      </c>
      <c r="AN26" s="113"/>
    </row>
    <row r="27" spans="2:40" x14ac:dyDescent="0.25">
      <c r="B27" s="107"/>
      <c r="C27" s="109"/>
      <c r="D27" s="27" t="s">
        <v>14</v>
      </c>
      <c r="E27" s="28" t="s">
        <v>15</v>
      </c>
      <c r="F27" s="38"/>
      <c r="G27" s="109"/>
      <c r="H27" s="27" t="s">
        <v>14</v>
      </c>
      <c r="I27" s="25" t="s">
        <v>15</v>
      </c>
      <c r="J27" s="25" t="s">
        <v>14</v>
      </c>
      <c r="K27" s="28" t="s">
        <v>15</v>
      </c>
      <c r="L27" s="25" t="s">
        <v>14</v>
      </c>
      <c r="M27" s="25" t="s">
        <v>15</v>
      </c>
      <c r="N27" s="25" t="s">
        <v>14</v>
      </c>
      <c r="O27" s="25" t="s">
        <v>15</v>
      </c>
      <c r="P27" s="25" t="s">
        <v>14</v>
      </c>
      <c r="Q27" s="25" t="s">
        <v>15</v>
      </c>
      <c r="R27" s="25"/>
      <c r="S27" s="25"/>
      <c r="T27" s="25" t="s">
        <v>14</v>
      </c>
      <c r="U27" s="25" t="s">
        <v>15</v>
      </c>
      <c r="W27" s="107"/>
      <c r="X27" s="109"/>
      <c r="Y27" s="27" t="s">
        <v>14</v>
      </c>
      <c r="Z27" s="28" t="s">
        <v>15</v>
      </c>
      <c r="AA27" s="38"/>
      <c r="AB27" s="109"/>
      <c r="AC27" s="27" t="s">
        <v>14</v>
      </c>
      <c r="AD27" s="25" t="s">
        <v>15</v>
      </c>
      <c r="AE27" s="25" t="s">
        <v>14</v>
      </c>
      <c r="AF27" s="28" t="s">
        <v>15</v>
      </c>
      <c r="AG27" s="25" t="s">
        <v>14</v>
      </c>
      <c r="AH27" s="25" t="s">
        <v>15</v>
      </c>
      <c r="AI27" s="25" t="s">
        <v>14</v>
      </c>
      <c r="AJ27" s="25" t="s">
        <v>15</v>
      </c>
      <c r="AK27" s="25"/>
      <c r="AL27" s="25"/>
      <c r="AM27" s="25" t="s">
        <v>14</v>
      </c>
      <c r="AN27" s="25" t="s">
        <v>15</v>
      </c>
    </row>
    <row r="28" spans="2:40" ht="18.75" customHeight="1" x14ac:dyDescent="0.25">
      <c r="B28" s="8" t="s">
        <v>2</v>
      </c>
      <c r="C28" s="10">
        <v>60</v>
      </c>
      <c r="D28" s="22">
        <v>60</v>
      </c>
      <c r="E28" s="17">
        <f t="shared" ref="E28:E38" si="0">D28/C28</f>
        <v>1</v>
      </c>
      <c r="F28" s="39"/>
      <c r="G28" s="41">
        <v>0</v>
      </c>
      <c r="H28" s="5" t="s">
        <v>93</v>
      </c>
      <c r="I28" s="88" t="str">
        <f>IF(H28="-","-",H28/$AB28)</f>
        <v>-</v>
      </c>
      <c r="J28" s="5" t="s">
        <v>93</v>
      </c>
      <c r="K28" s="88" t="str">
        <f>IF(J28="-","-",J28/$AB28)</f>
        <v>-</v>
      </c>
      <c r="L28" s="11" t="s">
        <v>93</v>
      </c>
      <c r="M28" s="17" t="str">
        <f>IF(L28="-","-",L28/$G28)</f>
        <v>-</v>
      </c>
      <c r="N28" s="11" t="s">
        <v>93</v>
      </c>
      <c r="O28" s="17" t="str">
        <f>IF(N28="-","-",N28/$G28)</f>
        <v>-</v>
      </c>
      <c r="P28" s="11" t="s">
        <v>93</v>
      </c>
      <c r="Q28" s="17" t="str">
        <f>IF(P28="-","-",P28/$G28)</f>
        <v>-</v>
      </c>
      <c r="R28" s="11" t="s">
        <v>93</v>
      </c>
      <c r="S28" s="17" t="str">
        <f>IF(R28="-","-",R28/$G28)</f>
        <v>-</v>
      </c>
      <c r="T28" s="11" t="s">
        <v>93</v>
      </c>
      <c r="U28" s="20" t="str">
        <f>IF(T28="-","-",T28/$G28)</f>
        <v>-</v>
      </c>
      <c r="W28" s="8" t="s">
        <v>2</v>
      </c>
      <c r="X28" s="10">
        <v>60</v>
      </c>
      <c r="Y28" s="22">
        <v>60</v>
      </c>
      <c r="Z28" s="17">
        <f t="shared" ref="Z28:Z38" si="1">Y28/X28</f>
        <v>1</v>
      </c>
      <c r="AA28" s="39"/>
      <c r="AB28" s="41">
        <v>0</v>
      </c>
      <c r="AC28" s="5" t="s">
        <v>93</v>
      </c>
      <c r="AD28" s="88" t="str">
        <f>IF(AC28="-","-",AC28/$AB28)</f>
        <v>-</v>
      </c>
      <c r="AE28" s="5" t="s">
        <v>93</v>
      </c>
      <c r="AF28" s="88" t="str">
        <f>IF(AE28="-","-",AE28/$AB28)</f>
        <v>-</v>
      </c>
      <c r="AG28" s="11" t="s">
        <v>93</v>
      </c>
      <c r="AH28" s="17" t="str">
        <f>IF(AG28="-","-",AG28/$AB28)</f>
        <v>-</v>
      </c>
      <c r="AI28" s="11" t="s">
        <v>93</v>
      </c>
      <c r="AJ28" s="17" t="str">
        <f>IF(AI28="-","-",AI28/$AB28)</f>
        <v>-</v>
      </c>
      <c r="AK28" s="11" t="s">
        <v>93</v>
      </c>
      <c r="AL28" s="17" t="str">
        <f>IF(AK28="-","-",AK28/$AB28)</f>
        <v>-</v>
      </c>
      <c r="AM28" s="11" t="s">
        <v>93</v>
      </c>
      <c r="AN28" s="20" t="str">
        <f>IF(AM28="-","-",AM28/$AB28)</f>
        <v>-</v>
      </c>
    </row>
    <row r="29" spans="2:40" ht="18.75" customHeight="1" x14ac:dyDescent="0.25">
      <c r="B29" s="8" t="s">
        <v>3</v>
      </c>
      <c r="C29" s="10">
        <v>60</v>
      </c>
      <c r="D29" s="22">
        <v>58</v>
      </c>
      <c r="E29" s="17">
        <f t="shared" si="0"/>
        <v>0.96666666666666667</v>
      </c>
      <c r="F29" s="39"/>
      <c r="G29" s="41">
        <v>2</v>
      </c>
      <c r="H29" s="5" t="s">
        <v>93</v>
      </c>
      <c r="I29" s="17" t="str">
        <f>IF(H29="-","-",H29/$AB29)</f>
        <v>-</v>
      </c>
      <c r="J29" s="11">
        <v>1</v>
      </c>
      <c r="K29" s="17">
        <f>IF(J29="-","-",J29/$AB29)</f>
        <v>0.5</v>
      </c>
      <c r="L29" s="11">
        <v>1</v>
      </c>
      <c r="M29" s="17">
        <f t="shared" ref="M29:M38" si="2">IF(L29="-","-",L29/$G29)</f>
        <v>0.5</v>
      </c>
      <c r="N29" s="11" t="s">
        <v>93</v>
      </c>
      <c r="O29" s="17" t="str">
        <f t="shared" ref="O29" si="3">IF(N29="-","-",N29/$G29)</f>
        <v>-</v>
      </c>
      <c r="P29" s="11" t="s">
        <v>93</v>
      </c>
      <c r="Q29" s="17" t="str">
        <f t="shared" ref="Q29" si="4">IF(P29="-","-",P29/$G29)</f>
        <v>-</v>
      </c>
      <c r="R29" s="11" t="s">
        <v>93</v>
      </c>
      <c r="S29" s="17" t="str">
        <f t="shared" ref="S29" si="5">IF(R29="-","-",R29/$G29)</f>
        <v>-</v>
      </c>
      <c r="T29" s="11" t="s">
        <v>93</v>
      </c>
      <c r="U29" s="20" t="str">
        <f t="shared" ref="U29" si="6">IF(T29="-","-",T29/$G29)</f>
        <v>-</v>
      </c>
      <c r="W29" s="8" t="s">
        <v>3</v>
      </c>
      <c r="X29" s="10">
        <v>60</v>
      </c>
      <c r="Y29" s="22">
        <v>58</v>
      </c>
      <c r="Z29" s="17">
        <f t="shared" si="1"/>
        <v>0.96666666666666667</v>
      </c>
      <c r="AA29" s="39"/>
      <c r="AB29" s="41">
        <v>2</v>
      </c>
      <c r="AC29" s="5" t="s">
        <v>93</v>
      </c>
      <c r="AD29" s="17" t="str">
        <f t="shared" ref="AD29:AD38" si="7">IF(AC29="-","-",AC29/$AB29)</f>
        <v>-</v>
      </c>
      <c r="AE29" s="11">
        <v>1</v>
      </c>
      <c r="AF29" s="17">
        <f t="shared" ref="AF29:AH38" si="8">IF(AE29="-","-",AE29/$AB29)</f>
        <v>0.5</v>
      </c>
      <c r="AG29" s="11">
        <v>1</v>
      </c>
      <c r="AH29" s="17">
        <f t="shared" si="8"/>
        <v>0.5</v>
      </c>
      <c r="AI29" s="11" t="s">
        <v>93</v>
      </c>
      <c r="AJ29" s="17" t="str">
        <f t="shared" ref="AJ29" si="9">IF(AI29="-","-",AI29/$AB29)</f>
        <v>-</v>
      </c>
      <c r="AK29" s="11" t="s">
        <v>93</v>
      </c>
      <c r="AL29" s="17" t="str">
        <f t="shared" ref="AL29" si="10">IF(AK29="-","-",AK29/$AB29)</f>
        <v>-</v>
      </c>
      <c r="AM29" s="11" t="s">
        <v>93</v>
      </c>
      <c r="AN29" s="20" t="str">
        <f t="shared" ref="AN29" si="11">IF(AM29="-","-",AM29/$AB29)</f>
        <v>-</v>
      </c>
    </row>
    <row r="30" spans="2:40" ht="18.75" customHeight="1" x14ac:dyDescent="0.25">
      <c r="B30" s="8" t="s">
        <v>4</v>
      </c>
      <c r="C30" s="10">
        <v>60</v>
      </c>
      <c r="D30" s="22">
        <v>60</v>
      </c>
      <c r="E30" s="17">
        <f t="shared" si="0"/>
        <v>1</v>
      </c>
      <c r="F30" s="39"/>
      <c r="G30" s="41">
        <v>0</v>
      </c>
      <c r="H30" s="5" t="s">
        <v>93</v>
      </c>
      <c r="I30" s="89" t="str">
        <f>IF(H30="-","-",H30/$AB30)</f>
        <v>-</v>
      </c>
      <c r="J30" s="5" t="s">
        <v>93</v>
      </c>
      <c r="K30" s="89" t="str">
        <f>IF(J30="-","-",J30/$AB30)</f>
        <v>-</v>
      </c>
      <c r="L30" s="11" t="s">
        <v>93</v>
      </c>
      <c r="M30" s="17" t="str">
        <f t="shared" si="2"/>
        <v>-</v>
      </c>
      <c r="N30" s="11" t="s">
        <v>93</v>
      </c>
      <c r="O30" s="17" t="str">
        <f t="shared" ref="O30" si="12">IF(N30="-","-",N30/$G30)</f>
        <v>-</v>
      </c>
      <c r="P30" s="11" t="s">
        <v>93</v>
      </c>
      <c r="Q30" s="17" t="str">
        <f t="shared" ref="Q30" si="13">IF(P30="-","-",P30/$G30)</f>
        <v>-</v>
      </c>
      <c r="R30" s="11" t="s">
        <v>93</v>
      </c>
      <c r="S30" s="17" t="str">
        <f t="shared" ref="S30" si="14">IF(R30="-","-",R30/$G30)</f>
        <v>-</v>
      </c>
      <c r="T30" s="11" t="s">
        <v>93</v>
      </c>
      <c r="U30" s="20" t="str">
        <f t="shared" ref="U30" si="15">IF(T30="-","-",T30/$G30)</f>
        <v>-</v>
      </c>
      <c r="W30" s="8" t="s">
        <v>4</v>
      </c>
      <c r="X30" s="10">
        <v>60</v>
      </c>
      <c r="Y30" s="22">
        <v>60</v>
      </c>
      <c r="Z30" s="17">
        <f t="shared" si="1"/>
        <v>1</v>
      </c>
      <c r="AA30" s="39"/>
      <c r="AB30" s="41">
        <v>0</v>
      </c>
      <c r="AC30" s="5" t="s">
        <v>93</v>
      </c>
      <c r="AD30" s="89" t="str">
        <f t="shared" si="7"/>
        <v>-</v>
      </c>
      <c r="AE30" s="5" t="s">
        <v>93</v>
      </c>
      <c r="AF30" s="89" t="str">
        <f t="shared" si="8"/>
        <v>-</v>
      </c>
      <c r="AG30" s="11" t="s">
        <v>93</v>
      </c>
      <c r="AH30" s="17" t="str">
        <f t="shared" si="8"/>
        <v>-</v>
      </c>
      <c r="AI30" s="11" t="s">
        <v>93</v>
      </c>
      <c r="AJ30" s="17" t="str">
        <f t="shared" ref="AJ30" si="16">IF(AI30="-","-",AI30/$AB30)</f>
        <v>-</v>
      </c>
      <c r="AK30" s="11" t="s">
        <v>93</v>
      </c>
      <c r="AL30" s="17" t="str">
        <f t="shared" ref="AL30" si="17">IF(AK30="-","-",AK30/$AB30)</f>
        <v>-</v>
      </c>
      <c r="AM30" s="11" t="s">
        <v>93</v>
      </c>
      <c r="AN30" s="20" t="str">
        <f t="shared" ref="AN30" si="18">IF(AM30="-","-",AM30/$AB30)</f>
        <v>-</v>
      </c>
    </row>
    <row r="31" spans="2:40" ht="18.75" customHeight="1" x14ac:dyDescent="0.25">
      <c r="B31" s="8" t="s">
        <v>5</v>
      </c>
      <c r="C31" s="10">
        <v>60</v>
      </c>
      <c r="D31" s="22">
        <v>60</v>
      </c>
      <c r="E31" s="17">
        <f t="shared" si="0"/>
        <v>1</v>
      </c>
      <c r="F31" s="39"/>
      <c r="G31" s="41">
        <v>0</v>
      </c>
      <c r="H31" s="5" t="s">
        <v>93</v>
      </c>
      <c r="I31" s="89" t="str">
        <f>IF(H31="-","-",H31/$AB31)</f>
        <v>-</v>
      </c>
      <c r="J31" s="5" t="s">
        <v>93</v>
      </c>
      <c r="K31" s="89" t="str">
        <f>IF(J31="-","-",J31/$AB31)</f>
        <v>-</v>
      </c>
      <c r="L31" s="11" t="s">
        <v>93</v>
      </c>
      <c r="M31" s="17" t="str">
        <f t="shared" si="2"/>
        <v>-</v>
      </c>
      <c r="N31" s="11" t="s">
        <v>93</v>
      </c>
      <c r="O31" s="17" t="str">
        <f t="shared" ref="O31" si="19">IF(N31="-","-",N31/$G31)</f>
        <v>-</v>
      </c>
      <c r="P31" s="11" t="s">
        <v>93</v>
      </c>
      <c r="Q31" s="17" t="str">
        <f t="shared" ref="Q31" si="20">IF(P31="-","-",P31/$G31)</f>
        <v>-</v>
      </c>
      <c r="R31" s="11" t="s">
        <v>93</v>
      </c>
      <c r="S31" s="17" t="str">
        <f t="shared" ref="S31" si="21">IF(R31="-","-",R31/$G31)</f>
        <v>-</v>
      </c>
      <c r="T31" s="11" t="s">
        <v>93</v>
      </c>
      <c r="U31" s="20" t="str">
        <f t="shared" ref="U31" si="22">IF(T31="-","-",T31/$G31)</f>
        <v>-</v>
      </c>
      <c r="W31" s="8" t="s">
        <v>5</v>
      </c>
      <c r="X31" s="10">
        <v>60</v>
      </c>
      <c r="Y31" s="22">
        <v>60</v>
      </c>
      <c r="Z31" s="17">
        <f t="shared" si="1"/>
        <v>1</v>
      </c>
      <c r="AA31" s="39"/>
      <c r="AB31" s="41">
        <v>0</v>
      </c>
      <c r="AC31" s="5" t="s">
        <v>93</v>
      </c>
      <c r="AD31" s="89" t="str">
        <f t="shared" si="7"/>
        <v>-</v>
      </c>
      <c r="AE31" s="5" t="s">
        <v>93</v>
      </c>
      <c r="AF31" s="89" t="str">
        <f t="shared" si="8"/>
        <v>-</v>
      </c>
      <c r="AG31" s="11" t="s">
        <v>93</v>
      </c>
      <c r="AH31" s="17" t="str">
        <f t="shared" si="8"/>
        <v>-</v>
      </c>
      <c r="AI31" s="11" t="s">
        <v>93</v>
      </c>
      <c r="AJ31" s="17" t="str">
        <f t="shared" ref="AJ31" si="23">IF(AI31="-","-",AI31/$AB31)</f>
        <v>-</v>
      </c>
      <c r="AK31" s="11" t="s">
        <v>93</v>
      </c>
      <c r="AL31" s="17" t="str">
        <f t="shared" ref="AL31" si="24">IF(AK31="-","-",AK31/$AB31)</f>
        <v>-</v>
      </c>
      <c r="AM31" s="11" t="s">
        <v>93</v>
      </c>
      <c r="AN31" s="20" t="str">
        <f t="shared" ref="AN31" si="25">IF(AM31="-","-",AM31/$AB31)</f>
        <v>-</v>
      </c>
    </row>
    <row r="32" spans="2:40" ht="18.75" customHeight="1" x14ac:dyDescent="0.25">
      <c r="B32" s="8" t="s">
        <v>6</v>
      </c>
      <c r="C32" s="10">
        <v>60</v>
      </c>
      <c r="D32" s="22">
        <v>60</v>
      </c>
      <c r="E32" s="17">
        <f t="shared" si="0"/>
        <v>1</v>
      </c>
      <c r="F32" s="39"/>
      <c r="G32" s="41">
        <v>0</v>
      </c>
      <c r="H32" s="5" t="s">
        <v>93</v>
      </c>
      <c r="I32" s="89" t="str">
        <f>IF(H32="-","-",H32/$AB32)</f>
        <v>-</v>
      </c>
      <c r="J32" s="5" t="s">
        <v>93</v>
      </c>
      <c r="K32" s="89" t="str">
        <f>IF(J32="-","-",J32/$AB32)</f>
        <v>-</v>
      </c>
      <c r="L32" s="11" t="s">
        <v>93</v>
      </c>
      <c r="M32" s="17" t="str">
        <f t="shared" si="2"/>
        <v>-</v>
      </c>
      <c r="N32" s="11" t="s">
        <v>93</v>
      </c>
      <c r="O32" s="17" t="str">
        <f t="shared" ref="O32" si="26">IF(N32="-","-",N32/$G32)</f>
        <v>-</v>
      </c>
      <c r="P32" s="11" t="s">
        <v>93</v>
      </c>
      <c r="Q32" s="17" t="str">
        <f t="shared" ref="Q32" si="27">IF(P32="-","-",P32/$G32)</f>
        <v>-</v>
      </c>
      <c r="R32" s="11" t="s">
        <v>93</v>
      </c>
      <c r="S32" s="17" t="str">
        <f t="shared" ref="S32" si="28">IF(R32="-","-",R32/$G32)</f>
        <v>-</v>
      </c>
      <c r="T32" s="11" t="s">
        <v>93</v>
      </c>
      <c r="U32" s="20" t="str">
        <f t="shared" ref="U32" si="29">IF(T32="-","-",T32/$G32)</f>
        <v>-</v>
      </c>
      <c r="W32" s="8" t="s">
        <v>6</v>
      </c>
      <c r="X32" s="10">
        <v>60</v>
      </c>
      <c r="Y32" s="22">
        <v>60</v>
      </c>
      <c r="Z32" s="17">
        <f t="shared" si="1"/>
        <v>1</v>
      </c>
      <c r="AA32" s="39"/>
      <c r="AB32" s="41">
        <v>0</v>
      </c>
      <c r="AC32" s="5" t="s">
        <v>93</v>
      </c>
      <c r="AD32" s="89" t="str">
        <f t="shared" si="7"/>
        <v>-</v>
      </c>
      <c r="AE32" s="5" t="s">
        <v>93</v>
      </c>
      <c r="AF32" s="89" t="str">
        <f t="shared" si="8"/>
        <v>-</v>
      </c>
      <c r="AG32" s="11" t="s">
        <v>93</v>
      </c>
      <c r="AH32" s="17" t="str">
        <f t="shared" si="8"/>
        <v>-</v>
      </c>
      <c r="AI32" s="11" t="s">
        <v>93</v>
      </c>
      <c r="AJ32" s="17" t="str">
        <f t="shared" ref="AJ32" si="30">IF(AI32="-","-",AI32/$AB32)</f>
        <v>-</v>
      </c>
      <c r="AK32" s="11" t="s">
        <v>93</v>
      </c>
      <c r="AL32" s="17" t="str">
        <f t="shared" ref="AL32" si="31">IF(AK32="-","-",AK32/$AB32)</f>
        <v>-</v>
      </c>
      <c r="AM32" s="11" t="s">
        <v>93</v>
      </c>
      <c r="AN32" s="20" t="str">
        <f t="shared" ref="AN32" si="32">IF(AM32="-","-",AM32/$AB32)</f>
        <v>-</v>
      </c>
    </row>
    <row r="33" spans="2:40" ht="18.75" customHeight="1" x14ac:dyDescent="0.25">
      <c r="B33" s="8" t="s">
        <v>7</v>
      </c>
      <c r="C33" s="10">
        <v>60</v>
      </c>
      <c r="D33" s="22">
        <v>58</v>
      </c>
      <c r="E33" s="17">
        <f t="shared" si="0"/>
        <v>0.96666666666666667</v>
      </c>
      <c r="F33" s="39"/>
      <c r="G33" s="41">
        <v>2</v>
      </c>
      <c r="H33" s="5" t="s">
        <v>93</v>
      </c>
      <c r="I33" s="89" t="str">
        <f>IF(H33="-","-",H33/$AB33)</f>
        <v>-</v>
      </c>
      <c r="J33" s="5" t="s">
        <v>93</v>
      </c>
      <c r="K33" s="89" t="str">
        <f>IF(J33="-","-",J33/$AB33)</f>
        <v>-</v>
      </c>
      <c r="L33" s="11">
        <v>2</v>
      </c>
      <c r="M33" s="17">
        <f t="shared" si="2"/>
        <v>1</v>
      </c>
      <c r="N33" s="11" t="s">
        <v>93</v>
      </c>
      <c r="O33" s="17" t="str">
        <f t="shared" ref="O33" si="33">IF(N33="-","-",N33/$G33)</f>
        <v>-</v>
      </c>
      <c r="P33" s="11" t="s">
        <v>93</v>
      </c>
      <c r="Q33" s="17" t="str">
        <f t="shared" ref="Q33" si="34">IF(P33="-","-",P33/$G33)</f>
        <v>-</v>
      </c>
      <c r="R33" s="11" t="s">
        <v>93</v>
      </c>
      <c r="S33" s="17" t="str">
        <f t="shared" ref="S33" si="35">IF(R33="-","-",R33/$G33)</f>
        <v>-</v>
      </c>
      <c r="T33" s="11" t="s">
        <v>93</v>
      </c>
      <c r="U33" s="20" t="str">
        <f t="shared" ref="U33" si="36">IF(T33="-","-",T33/$G33)</f>
        <v>-</v>
      </c>
      <c r="W33" s="8" t="s">
        <v>7</v>
      </c>
      <c r="X33" s="10">
        <v>60</v>
      </c>
      <c r="Y33" s="22">
        <v>58</v>
      </c>
      <c r="Z33" s="17">
        <f t="shared" si="1"/>
        <v>0.96666666666666667</v>
      </c>
      <c r="AA33" s="39"/>
      <c r="AB33" s="41">
        <v>2</v>
      </c>
      <c r="AC33" s="5" t="s">
        <v>93</v>
      </c>
      <c r="AD33" s="89" t="str">
        <f t="shared" si="7"/>
        <v>-</v>
      </c>
      <c r="AE33" s="5" t="s">
        <v>93</v>
      </c>
      <c r="AF33" s="89" t="str">
        <f t="shared" si="8"/>
        <v>-</v>
      </c>
      <c r="AG33" s="11">
        <v>2</v>
      </c>
      <c r="AH33" s="17">
        <f t="shared" si="8"/>
        <v>1</v>
      </c>
      <c r="AI33" s="11" t="s">
        <v>93</v>
      </c>
      <c r="AJ33" s="17" t="str">
        <f t="shared" ref="AJ33" si="37">IF(AI33="-","-",AI33/$AB33)</f>
        <v>-</v>
      </c>
      <c r="AK33" s="11" t="s">
        <v>93</v>
      </c>
      <c r="AL33" s="17" t="str">
        <f t="shared" ref="AL33" si="38">IF(AK33="-","-",AK33/$AB33)</f>
        <v>-</v>
      </c>
      <c r="AM33" s="11" t="s">
        <v>93</v>
      </c>
      <c r="AN33" s="20" t="str">
        <f t="shared" ref="AN33" si="39">IF(AM33="-","-",AM33/$AB33)</f>
        <v>-</v>
      </c>
    </row>
    <row r="34" spans="2:40" ht="18.75" customHeight="1" x14ac:dyDescent="0.25">
      <c r="B34" s="8" t="s">
        <v>8</v>
      </c>
      <c r="C34" s="10">
        <v>60</v>
      </c>
      <c r="D34" s="22">
        <v>60</v>
      </c>
      <c r="E34" s="17">
        <f t="shared" si="0"/>
        <v>1</v>
      </c>
      <c r="F34" s="39"/>
      <c r="G34" s="41">
        <v>0</v>
      </c>
      <c r="H34" s="5" t="s">
        <v>93</v>
      </c>
      <c r="I34" s="89" t="str">
        <f>IF(H34="-","-",H34/$AB34)</f>
        <v>-</v>
      </c>
      <c r="J34" s="5" t="s">
        <v>93</v>
      </c>
      <c r="K34" s="89" t="str">
        <f>IF(J34="-","-",J34/$AB34)</f>
        <v>-</v>
      </c>
      <c r="L34" s="11" t="s">
        <v>93</v>
      </c>
      <c r="M34" s="17" t="str">
        <f t="shared" si="2"/>
        <v>-</v>
      </c>
      <c r="N34" s="11" t="s">
        <v>93</v>
      </c>
      <c r="O34" s="17" t="str">
        <f t="shared" ref="O34" si="40">IF(N34="-","-",N34/$G34)</f>
        <v>-</v>
      </c>
      <c r="P34" s="11" t="s">
        <v>93</v>
      </c>
      <c r="Q34" s="17" t="str">
        <f t="shared" ref="Q34" si="41">IF(P34="-","-",P34/$G34)</f>
        <v>-</v>
      </c>
      <c r="R34" s="11" t="s">
        <v>93</v>
      </c>
      <c r="S34" s="17" t="str">
        <f t="shared" ref="S34" si="42">IF(R34="-","-",R34/$G34)</f>
        <v>-</v>
      </c>
      <c r="T34" s="11" t="s">
        <v>93</v>
      </c>
      <c r="U34" s="20" t="str">
        <f t="shared" ref="U34" si="43">IF(T34="-","-",T34/$G34)</f>
        <v>-</v>
      </c>
      <c r="W34" s="8" t="s">
        <v>8</v>
      </c>
      <c r="X34" s="10">
        <v>60</v>
      </c>
      <c r="Y34" s="22">
        <v>60</v>
      </c>
      <c r="Z34" s="17">
        <f t="shared" si="1"/>
        <v>1</v>
      </c>
      <c r="AA34" s="39"/>
      <c r="AB34" s="41">
        <v>0</v>
      </c>
      <c r="AC34" s="5" t="s">
        <v>93</v>
      </c>
      <c r="AD34" s="89" t="str">
        <f t="shared" si="7"/>
        <v>-</v>
      </c>
      <c r="AE34" s="5" t="s">
        <v>93</v>
      </c>
      <c r="AF34" s="89" t="str">
        <f t="shared" si="8"/>
        <v>-</v>
      </c>
      <c r="AG34" s="11" t="s">
        <v>93</v>
      </c>
      <c r="AH34" s="17" t="str">
        <f t="shared" si="8"/>
        <v>-</v>
      </c>
      <c r="AI34" s="11" t="s">
        <v>93</v>
      </c>
      <c r="AJ34" s="17" t="str">
        <f t="shared" ref="AJ34" si="44">IF(AI34="-","-",AI34/$AB34)</f>
        <v>-</v>
      </c>
      <c r="AK34" s="11" t="s">
        <v>93</v>
      </c>
      <c r="AL34" s="17" t="str">
        <f t="shared" ref="AL34" si="45">IF(AK34="-","-",AK34/$AB34)</f>
        <v>-</v>
      </c>
      <c r="AM34" s="11" t="s">
        <v>93</v>
      </c>
      <c r="AN34" s="20" t="str">
        <f t="shared" ref="AN34" si="46">IF(AM34="-","-",AM34/$AB34)</f>
        <v>-</v>
      </c>
    </row>
    <row r="35" spans="2:40" ht="18.75" customHeight="1" x14ac:dyDescent="0.25">
      <c r="B35" s="8" t="s">
        <v>9</v>
      </c>
      <c r="C35" s="10">
        <v>60</v>
      </c>
      <c r="D35" s="22">
        <v>60</v>
      </c>
      <c r="E35" s="17">
        <f t="shared" si="0"/>
        <v>1</v>
      </c>
      <c r="F35" s="39"/>
      <c r="G35" s="41">
        <v>0</v>
      </c>
      <c r="H35" s="5" t="s">
        <v>93</v>
      </c>
      <c r="I35" s="89" t="str">
        <f>IF(H35="-","-",H35/$AB35)</f>
        <v>-</v>
      </c>
      <c r="J35" s="5" t="s">
        <v>93</v>
      </c>
      <c r="K35" s="89" t="str">
        <f>IF(J35="-","-",J35/$AB35)</f>
        <v>-</v>
      </c>
      <c r="L35" s="11" t="s">
        <v>93</v>
      </c>
      <c r="M35" s="17" t="str">
        <f t="shared" si="2"/>
        <v>-</v>
      </c>
      <c r="N35" s="11" t="s">
        <v>93</v>
      </c>
      <c r="O35" s="17" t="str">
        <f t="shared" ref="O35" si="47">IF(N35="-","-",N35/$G35)</f>
        <v>-</v>
      </c>
      <c r="P35" s="11" t="s">
        <v>93</v>
      </c>
      <c r="Q35" s="17" t="str">
        <f t="shared" ref="Q35" si="48">IF(P35="-","-",P35/$G35)</f>
        <v>-</v>
      </c>
      <c r="R35" s="11" t="s">
        <v>93</v>
      </c>
      <c r="S35" s="17" t="str">
        <f t="shared" ref="S35" si="49">IF(R35="-","-",R35/$G35)</f>
        <v>-</v>
      </c>
      <c r="T35" s="11" t="s">
        <v>93</v>
      </c>
      <c r="U35" s="20" t="str">
        <f t="shared" ref="U35" si="50">IF(T35="-","-",T35/$G35)</f>
        <v>-</v>
      </c>
      <c r="W35" s="8" t="s">
        <v>9</v>
      </c>
      <c r="X35" s="10">
        <v>60</v>
      </c>
      <c r="Y35" s="22">
        <v>60</v>
      </c>
      <c r="Z35" s="17">
        <f t="shared" si="1"/>
        <v>1</v>
      </c>
      <c r="AA35" s="39"/>
      <c r="AB35" s="41">
        <v>0</v>
      </c>
      <c r="AC35" s="5" t="s">
        <v>93</v>
      </c>
      <c r="AD35" s="89" t="str">
        <f t="shared" si="7"/>
        <v>-</v>
      </c>
      <c r="AE35" s="5" t="s">
        <v>93</v>
      </c>
      <c r="AF35" s="89" t="str">
        <f t="shared" si="8"/>
        <v>-</v>
      </c>
      <c r="AG35" s="11" t="s">
        <v>93</v>
      </c>
      <c r="AH35" s="17" t="str">
        <f t="shared" si="8"/>
        <v>-</v>
      </c>
      <c r="AI35" s="11" t="s">
        <v>93</v>
      </c>
      <c r="AJ35" s="17" t="str">
        <f t="shared" ref="AJ35" si="51">IF(AI35="-","-",AI35/$AB35)</f>
        <v>-</v>
      </c>
      <c r="AK35" s="11" t="s">
        <v>93</v>
      </c>
      <c r="AL35" s="17" t="str">
        <f t="shared" ref="AL35" si="52">IF(AK35="-","-",AK35/$AB35)</f>
        <v>-</v>
      </c>
      <c r="AM35" s="11" t="s">
        <v>93</v>
      </c>
      <c r="AN35" s="20" t="str">
        <f t="shared" ref="AN35" si="53">IF(AM35="-","-",AM35/$AB35)</f>
        <v>-</v>
      </c>
    </row>
    <row r="36" spans="2:40" ht="18.75" customHeight="1" x14ac:dyDescent="0.25">
      <c r="B36" s="8" t="s">
        <v>10</v>
      </c>
      <c r="C36" s="10">
        <v>60</v>
      </c>
      <c r="D36" s="22">
        <v>60</v>
      </c>
      <c r="E36" s="17">
        <f t="shared" si="0"/>
        <v>1</v>
      </c>
      <c r="F36" s="39"/>
      <c r="G36" s="41">
        <v>0</v>
      </c>
      <c r="H36" s="5" t="s">
        <v>93</v>
      </c>
      <c r="I36" s="89" t="str">
        <f>IF(H36="-","-",H36/$AB36)</f>
        <v>-</v>
      </c>
      <c r="J36" s="5" t="s">
        <v>93</v>
      </c>
      <c r="K36" s="89" t="str">
        <f>IF(J36="-","-",J36/$AB36)</f>
        <v>-</v>
      </c>
      <c r="L36" s="11" t="s">
        <v>93</v>
      </c>
      <c r="M36" s="17" t="str">
        <f t="shared" si="2"/>
        <v>-</v>
      </c>
      <c r="N36" s="11" t="s">
        <v>93</v>
      </c>
      <c r="O36" s="17" t="str">
        <f t="shared" ref="O36" si="54">IF(N36="-","-",N36/$G36)</f>
        <v>-</v>
      </c>
      <c r="P36" s="11" t="s">
        <v>93</v>
      </c>
      <c r="Q36" s="17" t="str">
        <f t="shared" ref="Q36" si="55">IF(P36="-","-",P36/$G36)</f>
        <v>-</v>
      </c>
      <c r="R36" s="11" t="s">
        <v>93</v>
      </c>
      <c r="S36" s="17" t="str">
        <f t="shared" ref="S36" si="56">IF(R36="-","-",R36/$G36)</f>
        <v>-</v>
      </c>
      <c r="T36" s="11" t="s">
        <v>93</v>
      </c>
      <c r="U36" s="20" t="str">
        <f t="shared" ref="U36" si="57">IF(T36="-","-",T36/$G36)</f>
        <v>-</v>
      </c>
      <c r="W36" s="8" t="s">
        <v>10</v>
      </c>
      <c r="X36" s="10">
        <v>60</v>
      </c>
      <c r="Y36" s="22">
        <v>60</v>
      </c>
      <c r="Z36" s="17">
        <f t="shared" si="1"/>
        <v>1</v>
      </c>
      <c r="AA36" s="39"/>
      <c r="AB36" s="41">
        <v>0</v>
      </c>
      <c r="AC36" s="5" t="s">
        <v>93</v>
      </c>
      <c r="AD36" s="89" t="str">
        <f t="shared" si="7"/>
        <v>-</v>
      </c>
      <c r="AE36" s="5" t="s">
        <v>93</v>
      </c>
      <c r="AF36" s="89" t="str">
        <f t="shared" si="8"/>
        <v>-</v>
      </c>
      <c r="AG36" s="11" t="s">
        <v>93</v>
      </c>
      <c r="AH36" s="17" t="str">
        <f t="shared" si="8"/>
        <v>-</v>
      </c>
      <c r="AI36" s="11" t="s">
        <v>93</v>
      </c>
      <c r="AJ36" s="17" t="str">
        <f t="shared" ref="AJ36" si="58">IF(AI36="-","-",AI36/$AB36)</f>
        <v>-</v>
      </c>
      <c r="AK36" s="11" t="s">
        <v>93</v>
      </c>
      <c r="AL36" s="17" t="str">
        <f t="shared" ref="AL36" si="59">IF(AK36="-","-",AK36/$AB36)</f>
        <v>-</v>
      </c>
      <c r="AM36" s="11" t="s">
        <v>93</v>
      </c>
      <c r="AN36" s="20" t="str">
        <f t="shared" ref="AN36" si="60">IF(AM36="-","-",AM36/$AB36)</f>
        <v>-</v>
      </c>
    </row>
    <row r="37" spans="2:40" ht="18.75" customHeight="1" x14ac:dyDescent="0.25">
      <c r="B37" s="8" t="s">
        <v>11</v>
      </c>
      <c r="C37" s="10">
        <v>60</v>
      </c>
      <c r="D37" s="22">
        <v>59</v>
      </c>
      <c r="E37" s="17">
        <f t="shared" si="0"/>
        <v>0.98333333333333328</v>
      </c>
      <c r="F37" s="39"/>
      <c r="G37" s="41">
        <v>1</v>
      </c>
      <c r="H37" s="5" t="s">
        <v>93</v>
      </c>
      <c r="I37" s="89" t="str">
        <f>IF(H37="-","-",H37/$AB37)</f>
        <v>-</v>
      </c>
      <c r="J37" s="5" t="s">
        <v>93</v>
      </c>
      <c r="K37" s="89" t="str">
        <f>IF(J37="-","-",J37/$AB37)</f>
        <v>-</v>
      </c>
      <c r="L37" s="11" t="s">
        <v>93</v>
      </c>
      <c r="M37" s="17" t="str">
        <f t="shared" si="2"/>
        <v>-</v>
      </c>
      <c r="N37" s="11" t="s">
        <v>93</v>
      </c>
      <c r="O37" s="17" t="str">
        <f t="shared" ref="O37" si="61">IF(N37="-","-",N37/$G37)</f>
        <v>-</v>
      </c>
      <c r="P37" s="11">
        <v>1</v>
      </c>
      <c r="Q37" s="17">
        <f t="shared" ref="Q37" si="62">IF(P37="-","-",P37/$G37)</f>
        <v>1</v>
      </c>
      <c r="R37" s="17" t="s">
        <v>93</v>
      </c>
      <c r="S37" s="17" t="str">
        <f t="shared" ref="S37" si="63">IF(R37="-","-",R37/$G37)</f>
        <v>-</v>
      </c>
      <c r="T37" s="11" t="s">
        <v>93</v>
      </c>
      <c r="U37" s="20" t="str">
        <f t="shared" ref="U37" si="64">IF(T37="-","-",T37/$G37)</f>
        <v>-</v>
      </c>
      <c r="W37" s="8" t="s">
        <v>11</v>
      </c>
      <c r="X37" s="10">
        <v>60</v>
      </c>
      <c r="Y37" s="22">
        <v>59</v>
      </c>
      <c r="Z37" s="17">
        <f t="shared" si="1"/>
        <v>0.98333333333333328</v>
      </c>
      <c r="AA37" s="39"/>
      <c r="AB37" s="41">
        <v>1</v>
      </c>
      <c r="AC37" s="5" t="s">
        <v>93</v>
      </c>
      <c r="AD37" s="89" t="str">
        <f t="shared" si="7"/>
        <v>-</v>
      </c>
      <c r="AE37" s="5" t="s">
        <v>93</v>
      </c>
      <c r="AF37" s="89" t="str">
        <f t="shared" si="8"/>
        <v>-</v>
      </c>
      <c r="AG37" s="11" t="s">
        <v>93</v>
      </c>
      <c r="AH37" s="17" t="str">
        <f t="shared" si="8"/>
        <v>-</v>
      </c>
      <c r="AI37" s="11" t="s">
        <v>93</v>
      </c>
      <c r="AJ37" s="17" t="str">
        <f t="shared" ref="AJ37" si="65">IF(AI37="-","-",AI37/$AB37)</f>
        <v>-</v>
      </c>
      <c r="AK37" s="11">
        <v>1</v>
      </c>
      <c r="AL37" s="17">
        <f t="shared" ref="AL37" si="66">IF(AK37="-","-",AK37/$AB37)</f>
        <v>1</v>
      </c>
      <c r="AM37" s="11" t="s">
        <v>93</v>
      </c>
      <c r="AN37" s="20" t="str">
        <f t="shared" ref="AN37" si="67">IF(AM37="-","-",AM37/$AB37)</f>
        <v>-</v>
      </c>
    </row>
    <row r="38" spans="2:40" ht="18.75" customHeight="1" x14ac:dyDescent="0.25">
      <c r="B38" s="14" t="s">
        <v>13</v>
      </c>
      <c r="C38" s="51">
        <f>SUM(C28:C37)</f>
        <v>600</v>
      </c>
      <c r="D38" s="52">
        <f>SUM(D28:D37)</f>
        <v>595</v>
      </c>
      <c r="E38" s="53">
        <f t="shared" si="0"/>
        <v>0.9916666666666667</v>
      </c>
      <c r="F38" s="54"/>
      <c r="G38" s="59">
        <f>SUM(G28:G37)</f>
        <v>5</v>
      </c>
      <c r="H38" s="57" t="s">
        <v>93</v>
      </c>
      <c r="I38" s="53" t="str">
        <f>IF(H38="-","-",H38/$AB38)</f>
        <v>-</v>
      </c>
      <c r="J38" s="57">
        <f>SUM(J28:J37)</f>
        <v>1</v>
      </c>
      <c r="K38" s="53">
        <f>IF(J38="-","-",J38/$AB38)</f>
        <v>0.2</v>
      </c>
      <c r="L38" s="57">
        <f>SUM(L28:L37)</f>
        <v>3</v>
      </c>
      <c r="M38" s="53">
        <f t="shared" si="2"/>
        <v>0.6</v>
      </c>
      <c r="N38" s="57" t="s">
        <v>93</v>
      </c>
      <c r="O38" s="53" t="str">
        <f t="shared" ref="O38" si="68">IF(N38="-","-",N38/$G38)</f>
        <v>-</v>
      </c>
      <c r="P38" s="57">
        <f>SUM(P28:P37)</f>
        <v>1</v>
      </c>
      <c r="Q38" s="53">
        <f t="shared" ref="Q38" si="69">IF(P38="-","-",P38/$G38)</f>
        <v>0.2</v>
      </c>
      <c r="R38" s="53" t="s">
        <v>93</v>
      </c>
      <c r="S38" s="53" t="str">
        <f t="shared" ref="S38" si="70">IF(R38="-","-",R38/$G38)</f>
        <v>-</v>
      </c>
      <c r="T38" s="57" t="s">
        <v>93</v>
      </c>
      <c r="U38" s="58" t="str">
        <f t="shared" ref="U38" si="71">IF(T38="-","-",T38/$G38)</f>
        <v>-</v>
      </c>
      <c r="W38" s="14" t="s">
        <v>13</v>
      </c>
      <c r="X38" s="51">
        <f>SUM(X28:X37)</f>
        <v>600</v>
      </c>
      <c r="Y38" s="52">
        <f>SUM(Y28:Y37)</f>
        <v>595</v>
      </c>
      <c r="Z38" s="53">
        <f t="shared" si="1"/>
        <v>0.9916666666666667</v>
      </c>
      <c r="AA38" s="54"/>
      <c r="AB38" s="59">
        <f>SUM(AB28:AB37)</f>
        <v>5</v>
      </c>
      <c r="AC38" s="57" t="s">
        <v>93</v>
      </c>
      <c r="AD38" s="53" t="str">
        <f t="shared" si="7"/>
        <v>-</v>
      </c>
      <c r="AE38" s="57">
        <f>SUM(AE28:AE37)</f>
        <v>1</v>
      </c>
      <c r="AF38" s="53">
        <f t="shared" si="8"/>
        <v>0.2</v>
      </c>
      <c r="AG38" s="57">
        <f>SUM(AG28:AG37)</f>
        <v>3</v>
      </c>
      <c r="AH38" s="53">
        <f t="shared" si="8"/>
        <v>0.6</v>
      </c>
      <c r="AI38" s="57" t="s">
        <v>93</v>
      </c>
      <c r="AJ38" s="53" t="str">
        <f t="shared" ref="AJ38" si="72">IF(AI38="-","-",AI38/$AB38)</f>
        <v>-</v>
      </c>
      <c r="AK38" s="57">
        <f>SUM(AK28:AK37)</f>
        <v>1</v>
      </c>
      <c r="AL38" s="53">
        <f t="shared" ref="AL38" si="73">IF(AK38="-","-",AK38/$AB38)</f>
        <v>0.2</v>
      </c>
      <c r="AM38" s="57" t="s">
        <v>93</v>
      </c>
      <c r="AN38" s="58" t="str">
        <f t="shared" ref="AN38" si="74">IF(AM38="-","-",AM38/$AB38)</f>
        <v>-</v>
      </c>
    </row>
    <row r="39" spans="2:40" ht="30" customHeight="1" x14ac:dyDescent="0.25">
      <c r="B39" s="114" t="s">
        <v>151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W39" s="114" t="s">
        <v>151</v>
      </c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</row>
  </sheetData>
  <mergeCells count="65">
    <mergeCell ref="B22:U22"/>
    <mergeCell ref="B19:U19"/>
    <mergeCell ref="G5:U5"/>
    <mergeCell ref="B4:U4"/>
    <mergeCell ref="B3:U3"/>
    <mergeCell ref="J26:K26"/>
    <mergeCell ref="B39:U39"/>
    <mergeCell ref="G25:U25"/>
    <mergeCell ref="B24:U24"/>
    <mergeCell ref="B23:U23"/>
    <mergeCell ref="AC6:AD6"/>
    <mergeCell ref="AC26:AD26"/>
    <mergeCell ref="W19:AN19"/>
    <mergeCell ref="AB5:AN5"/>
    <mergeCell ref="W4:AN4"/>
    <mergeCell ref="W24:AN24"/>
    <mergeCell ref="AB25:AN25"/>
    <mergeCell ref="X25:Z25"/>
    <mergeCell ref="W26:W27"/>
    <mergeCell ref="X26:X27"/>
    <mergeCell ref="Y26:Z26"/>
    <mergeCell ref="AB26:AB27"/>
    <mergeCell ref="AE26:AF26"/>
    <mergeCell ref="AG26:AH26"/>
    <mergeCell ref="AI26:AJ26"/>
    <mergeCell ref="W39:AN39"/>
    <mergeCell ref="AE6:AF6"/>
    <mergeCell ref="AG6:AH6"/>
    <mergeCell ref="AI6:AJ6"/>
    <mergeCell ref="AK26:AL26"/>
    <mergeCell ref="AM26:AN26"/>
    <mergeCell ref="P26:Q26"/>
    <mergeCell ref="T26:U26"/>
    <mergeCell ref="R6:S6"/>
    <mergeCell ref="R26:S26"/>
    <mergeCell ref="C25:E25"/>
    <mergeCell ref="B26:B27"/>
    <mergeCell ref="C26:C27"/>
    <mergeCell ref="D26:E26"/>
    <mergeCell ref="G26:G27"/>
    <mergeCell ref="H26:I26"/>
    <mergeCell ref="L26:M26"/>
    <mergeCell ref="N26:O26"/>
    <mergeCell ref="N6:O6"/>
    <mergeCell ref="W2:AL2"/>
    <mergeCell ref="X5:Z5"/>
    <mergeCell ref="W6:W7"/>
    <mergeCell ref="AK6:AL6"/>
    <mergeCell ref="AM6:AN6"/>
    <mergeCell ref="W22:AL22"/>
    <mergeCell ref="W23:AL23"/>
    <mergeCell ref="X6:X7"/>
    <mergeCell ref="Y6:Z6"/>
    <mergeCell ref="AB6:AB7"/>
    <mergeCell ref="C5:E5"/>
    <mergeCell ref="B6:B7"/>
    <mergeCell ref="C6:C7"/>
    <mergeCell ref="D6:E6"/>
    <mergeCell ref="G6:G7"/>
    <mergeCell ref="H6:I6"/>
    <mergeCell ref="L6:M6"/>
    <mergeCell ref="P6:Q6"/>
    <mergeCell ref="T6:U6"/>
    <mergeCell ref="J6:K6"/>
    <mergeCell ref="B2:U2"/>
  </mergeCells>
  <pageMargins left="0.7" right="0.7" top="0.75" bottom="0.75" header="0.3" footer="0.3"/>
  <ignoredErrors>
    <ignoredError sqref="L38:P38 AE38:AK38 J38:K3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766F-243B-41B7-BFDD-A69F2D7EC331}">
  <dimension ref="B2:Q39"/>
  <sheetViews>
    <sheetView zoomScaleNormal="100" workbookViewId="0"/>
  </sheetViews>
  <sheetFormatPr defaultColWidth="9.140625" defaultRowHeight="15" x14ac:dyDescent="0.25"/>
  <cols>
    <col min="1" max="1" width="9.140625" style="7"/>
    <col min="2" max="2" width="14.28515625" style="7" customWidth="1"/>
    <col min="3" max="5" width="10" style="7" customWidth="1"/>
    <col min="6" max="6" width="1.42578125" style="7" customWidth="1"/>
    <col min="7" max="17" width="10" style="7" customWidth="1"/>
    <col min="18" max="16384" width="9.140625" style="7"/>
  </cols>
  <sheetData>
    <row r="2" spans="2:17" x14ac:dyDescent="0.25">
      <c r="B2" s="102" t="s">
        <v>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4" spans="2:17" ht="33.75" customHeight="1" x14ac:dyDescent="0.25">
      <c r="B4" s="104" t="s">
        <v>133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2:17" ht="15" customHeight="1" x14ac:dyDescent="0.25">
      <c r="B5" s="9"/>
      <c r="C5" s="105" t="s">
        <v>65</v>
      </c>
      <c r="D5" s="105"/>
      <c r="E5" s="105"/>
      <c r="F5" s="36"/>
      <c r="G5" s="105" t="s">
        <v>66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2:17" ht="48.75" customHeight="1" x14ac:dyDescent="0.25">
      <c r="B6" s="106" t="s">
        <v>0</v>
      </c>
      <c r="C6" s="108" t="s">
        <v>1</v>
      </c>
      <c r="D6" s="110" t="s">
        <v>72</v>
      </c>
      <c r="E6" s="111"/>
      <c r="F6" s="37"/>
      <c r="G6" s="108" t="s">
        <v>1</v>
      </c>
      <c r="H6" s="110" t="s">
        <v>69</v>
      </c>
      <c r="I6" s="111"/>
      <c r="J6" s="112" t="s">
        <v>68</v>
      </c>
      <c r="K6" s="111"/>
      <c r="L6" s="112" t="s">
        <v>70</v>
      </c>
      <c r="M6" s="111"/>
      <c r="N6" s="112" t="s">
        <v>67</v>
      </c>
      <c r="O6" s="111"/>
      <c r="P6" s="112" t="s">
        <v>49</v>
      </c>
      <c r="Q6" s="113"/>
    </row>
    <row r="7" spans="2:17" x14ac:dyDescent="0.25">
      <c r="B7" s="107"/>
      <c r="C7" s="109"/>
      <c r="D7" s="27" t="s">
        <v>14</v>
      </c>
      <c r="E7" s="28" t="s">
        <v>15</v>
      </c>
      <c r="F7" s="38"/>
      <c r="G7" s="109"/>
      <c r="H7" s="27" t="s">
        <v>14</v>
      </c>
      <c r="I7" s="25" t="s">
        <v>15</v>
      </c>
      <c r="J7" s="25" t="s">
        <v>14</v>
      </c>
      <c r="K7" s="25" t="s">
        <v>15</v>
      </c>
      <c r="L7" s="25" t="s">
        <v>14</v>
      </c>
      <c r="M7" s="25" t="s">
        <v>15</v>
      </c>
      <c r="N7" s="25" t="s">
        <v>14</v>
      </c>
      <c r="O7" s="25" t="s">
        <v>15</v>
      </c>
      <c r="P7" s="25" t="s">
        <v>14</v>
      </c>
      <c r="Q7" s="25" t="s">
        <v>15</v>
      </c>
    </row>
    <row r="8" spans="2:17" ht="18.75" customHeight="1" x14ac:dyDescent="0.25">
      <c r="B8" s="8"/>
      <c r="C8" s="10"/>
      <c r="D8" s="22"/>
      <c r="E8" s="11"/>
      <c r="F8" s="39"/>
      <c r="G8" s="41"/>
      <c r="H8" s="18"/>
      <c r="I8" s="12"/>
      <c r="J8" s="11"/>
      <c r="K8" s="11"/>
      <c r="L8" s="11"/>
      <c r="M8" s="11"/>
      <c r="N8" s="11"/>
      <c r="O8" s="11"/>
      <c r="P8" s="11"/>
      <c r="Q8" s="10"/>
    </row>
    <row r="9" spans="2:17" ht="18.75" customHeight="1" x14ac:dyDescent="0.25">
      <c r="B9" s="8"/>
      <c r="C9" s="10"/>
      <c r="D9" s="22"/>
      <c r="E9" s="11"/>
      <c r="F9" s="39"/>
      <c r="G9" s="41"/>
      <c r="H9" s="18"/>
      <c r="I9" s="13"/>
      <c r="J9" s="11"/>
      <c r="K9" s="11"/>
      <c r="L9" s="11"/>
      <c r="M9" s="11"/>
      <c r="N9" s="11"/>
      <c r="O9" s="11"/>
      <c r="P9" s="11"/>
      <c r="Q9" s="10"/>
    </row>
    <row r="10" spans="2:17" ht="18.75" customHeight="1" x14ac:dyDescent="0.25">
      <c r="B10" s="8"/>
      <c r="C10" s="10"/>
      <c r="D10" s="22"/>
      <c r="E10" s="11"/>
      <c r="F10" s="39"/>
      <c r="G10" s="41"/>
      <c r="H10" s="18"/>
      <c r="I10" s="13"/>
      <c r="J10" s="11"/>
      <c r="K10" s="11"/>
      <c r="L10" s="11"/>
      <c r="M10" s="11"/>
      <c r="N10" s="11"/>
      <c r="O10" s="11"/>
      <c r="P10" s="11"/>
      <c r="Q10" s="10"/>
    </row>
    <row r="11" spans="2:17" ht="18.75" customHeight="1" x14ac:dyDescent="0.25">
      <c r="B11" s="8"/>
      <c r="C11" s="10"/>
      <c r="D11" s="22"/>
      <c r="E11" s="11"/>
      <c r="F11" s="39"/>
      <c r="G11" s="41"/>
      <c r="H11" s="18"/>
      <c r="I11" s="13"/>
      <c r="J11" s="11"/>
      <c r="K11" s="11"/>
      <c r="L11" s="11"/>
      <c r="M11" s="11"/>
      <c r="N11" s="11"/>
      <c r="O11" s="11"/>
      <c r="P11" s="11"/>
      <c r="Q11" s="10"/>
    </row>
    <row r="12" spans="2:17" ht="18.75" customHeight="1" x14ac:dyDescent="0.25">
      <c r="B12" s="8"/>
      <c r="C12" s="10"/>
      <c r="D12" s="22"/>
      <c r="E12" s="11"/>
      <c r="F12" s="39"/>
      <c r="G12" s="41"/>
      <c r="H12" s="18"/>
      <c r="I12" s="13"/>
      <c r="J12" s="11"/>
      <c r="K12" s="11"/>
      <c r="L12" s="11"/>
      <c r="M12" s="11"/>
      <c r="N12" s="11"/>
      <c r="O12" s="11"/>
      <c r="P12" s="11"/>
      <c r="Q12" s="10"/>
    </row>
    <row r="13" spans="2:17" ht="18.75" customHeight="1" x14ac:dyDescent="0.25">
      <c r="B13" s="8"/>
      <c r="C13" s="10"/>
      <c r="D13" s="22"/>
      <c r="E13" s="11"/>
      <c r="F13" s="39"/>
      <c r="G13" s="41"/>
      <c r="H13" s="18"/>
      <c r="I13" s="13"/>
      <c r="J13" s="11"/>
      <c r="K13" s="11"/>
      <c r="L13" s="11"/>
      <c r="M13" s="11"/>
      <c r="N13" s="11"/>
      <c r="O13" s="11"/>
      <c r="P13" s="11"/>
      <c r="Q13" s="10"/>
    </row>
    <row r="14" spans="2:17" ht="18.75" customHeight="1" x14ac:dyDescent="0.25">
      <c r="B14" s="8"/>
      <c r="C14" s="10"/>
      <c r="D14" s="22"/>
      <c r="E14" s="11"/>
      <c r="F14" s="39"/>
      <c r="G14" s="41"/>
      <c r="H14" s="18"/>
      <c r="I14" s="13"/>
      <c r="J14" s="11"/>
      <c r="K14" s="11"/>
      <c r="L14" s="11"/>
      <c r="M14" s="11"/>
      <c r="N14" s="11"/>
      <c r="O14" s="11"/>
      <c r="P14" s="11"/>
      <c r="Q14" s="10"/>
    </row>
    <row r="15" spans="2:17" ht="18.75" customHeight="1" x14ac:dyDescent="0.25">
      <c r="B15" s="8"/>
      <c r="C15" s="10"/>
      <c r="D15" s="22"/>
      <c r="E15" s="11"/>
      <c r="F15" s="39"/>
      <c r="G15" s="41"/>
      <c r="H15" s="18"/>
      <c r="I15" s="13"/>
      <c r="J15" s="11"/>
      <c r="K15" s="11"/>
      <c r="L15" s="11"/>
      <c r="M15" s="11"/>
      <c r="N15" s="11"/>
      <c r="O15" s="11"/>
      <c r="P15" s="11"/>
      <c r="Q15" s="10"/>
    </row>
    <row r="16" spans="2:17" ht="18.75" customHeight="1" x14ac:dyDescent="0.25">
      <c r="B16" s="8"/>
      <c r="C16" s="10"/>
      <c r="D16" s="22"/>
      <c r="E16" s="11"/>
      <c r="F16" s="39"/>
      <c r="G16" s="41"/>
      <c r="H16" s="18"/>
      <c r="I16" s="13"/>
      <c r="J16" s="11"/>
      <c r="K16" s="11"/>
      <c r="L16" s="11"/>
      <c r="M16" s="11"/>
      <c r="N16" s="11"/>
      <c r="O16" s="11"/>
      <c r="P16" s="11"/>
      <c r="Q16" s="10"/>
    </row>
    <row r="17" spans="2:17" ht="18.75" customHeight="1" x14ac:dyDescent="0.25">
      <c r="B17" s="8"/>
      <c r="C17" s="10"/>
      <c r="D17" s="22"/>
      <c r="E17" s="11"/>
      <c r="F17" s="39"/>
      <c r="G17" s="41"/>
      <c r="H17" s="18"/>
      <c r="I17" s="13"/>
      <c r="J17" s="11"/>
      <c r="K17" s="11"/>
      <c r="L17" s="11"/>
      <c r="M17" s="11"/>
      <c r="N17" s="11"/>
      <c r="O17" s="11"/>
      <c r="P17" s="11"/>
      <c r="Q17" s="10"/>
    </row>
    <row r="18" spans="2:17" ht="18.75" customHeight="1" x14ac:dyDescent="0.25">
      <c r="B18" s="14" t="s">
        <v>13</v>
      </c>
      <c r="C18" s="24"/>
      <c r="D18" s="21"/>
      <c r="E18" s="15"/>
      <c r="F18" s="40"/>
      <c r="G18" s="42"/>
      <c r="H18" s="19"/>
      <c r="I18" s="16"/>
      <c r="J18" s="15"/>
      <c r="K18" s="15"/>
      <c r="L18" s="15"/>
      <c r="M18" s="15"/>
      <c r="N18" s="15"/>
      <c r="O18" s="15"/>
      <c r="P18" s="15"/>
      <c r="Q18" s="24"/>
    </row>
    <row r="19" spans="2:17" ht="30" customHeight="1" x14ac:dyDescent="0.25">
      <c r="B19" s="114" t="s">
        <v>151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</row>
    <row r="20" spans="2:17" ht="18.75" customHeight="1" x14ac:dyDescent="0.25"/>
    <row r="21" spans="2:17" ht="18.75" customHeight="1" x14ac:dyDescent="0.25"/>
    <row r="22" spans="2:17" x14ac:dyDescent="0.25">
      <c r="B22" s="102" t="s">
        <v>12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</row>
    <row r="23" spans="2:17" x14ac:dyDescent="0.25"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</row>
    <row r="24" spans="2:17" ht="33.75" customHeight="1" x14ac:dyDescent="0.25">
      <c r="B24" s="104" t="s">
        <v>134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</row>
    <row r="25" spans="2:17" ht="15" customHeight="1" x14ac:dyDescent="0.25">
      <c r="B25" s="9"/>
      <c r="C25" s="105" t="s">
        <v>65</v>
      </c>
      <c r="D25" s="105"/>
      <c r="E25" s="105"/>
      <c r="F25" s="36"/>
      <c r="G25" s="105" t="s">
        <v>66</v>
      </c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2:17" ht="48.75" customHeight="1" x14ac:dyDescent="0.25">
      <c r="B26" s="106" t="s">
        <v>0</v>
      </c>
      <c r="C26" s="108" t="s">
        <v>1</v>
      </c>
      <c r="D26" s="110" t="s">
        <v>72</v>
      </c>
      <c r="E26" s="111"/>
      <c r="F26" s="37"/>
      <c r="G26" s="108" t="s">
        <v>1</v>
      </c>
      <c r="H26" s="110" t="s">
        <v>69</v>
      </c>
      <c r="I26" s="111"/>
      <c r="J26" s="112" t="s">
        <v>68</v>
      </c>
      <c r="K26" s="111"/>
      <c r="L26" s="112" t="s">
        <v>70</v>
      </c>
      <c r="M26" s="111"/>
      <c r="N26" s="112" t="s">
        <v>67</v>
      </c>
      <c r="O26" s="111"/>
      <c r="P26" s="112" t="s">
        <v>49</v>
      </c>
      <c r="Q26" s="113"/>
    </row>
    <row r="27" spans="2:17" x14ac:dyDescent="0.25">
      <c r="B27" s="107"/>
      <c r="C27" s="109"/>
      <c r="D27" s="27" t="s">
        <v>14</v>
      </c>
      <c r="E27" s="28" t="s">
        <v>15</v>
      </c>
      <c r="F27" s="38"/>
      <c r="G27" s="109"/>
      <c r="H27" s="27" t="s">
        <v>14</v>
      </c>
      <c r="I27" s="25" t="s">
        <v>15</v>
      </c>
      <c r="J27" s="25" t="s">
        <v>14</v>
      </c>
      <c r="K27" s="25" t="s">
        <v>15</v>
      </c>
      <c r="L27" s="25" t="s">
        <v>14</v>
      </c>
      <c r="M27" s="25" t="s">
        <v>15</v>
      </c>
      <c r="N27" s="25" t="s">
        <v>14</v>
      </c>
      <c r="O27" s="25" t="s">
        <v>15</v>
      </c>
      <c r="P27" s="25" t="s">
        <v>14</v>
      </c>
      <c r="Q27" s="25" t="s">
        <v>15</v>
      </c>
    </row>
    <row r="28" spans="2:17" ht="18.75" customHeight="1" x14ac:dyDescent="0.25">
      <c r="B28" s="8" t="s">
        <v>2</v>
      </c>
      <c r="C28" s="10">
        <v>60</v>
      </c>
      <c r="D28" s="22">
        <v>60</v>
      </c>
      <c r="E28" s="17">
        <f t="shared" ref="E28:E38" si="0">D28/C28</f>
        <v>1</v>
      </c>
      <c r="F28" s="39"/>
      <c r="G28" s="41">
        <v>0</v>
      </c>
      <c r="H28" s="18" t="s">
        <v>93</v>
      </c>
      <c r="I28" s="12" t="str">
        <f>IF(H28="-","-",H28/$G28)</f>
        <v>-</v>
      </c>
      <c r="J28" s="11" t="s">
        <v>93</v>
      </c>
      <c r="K28" s="17" t="str">
        <f>IF(J28="-","-",J28/$G28)</f>
        <v>-</v>
      </c>
      <c r="L28" s="11" t="s">
        <v>93</v>
      </c>
      <c r="M28" s="17" t="str">
        <f>IF(L28="-","-",L28/$G28)</f>
        <v>-</v>
      </c>
      <c r="N28" s="11" t="s">
        <v>93</v>
      </c>
      <c r="O28" s="17" t="str">
        <f>IF(N28="-","-",N28/$G28)</f>
        <v>-</v>
      </c>
      <c r="P28" s="11" t="s">
        <v>93</v>
      </c>
      <c r="Q28" s="20" t="str">
        <f>IF(P28="-","-",P28/$G28)</f>
        <v>-</v>
      </c>
    </row>
    <row r="29" spans="2:17" ht="18.75" customHeight="1" x14ac:dyDescent="0.25">
      <c r="B29" s="8" t="s">
        <v>3</v>
      </c>
      <c r="C29" s="10">
        <v>60</v>
      </c>
      <c r="D29" s="22">
        <v>58</v>
      </c>
      <c r="E29" s="17">
        <f t="shared" si="0"/>
        <v>0.96666666666666667</v>
      </c>
      <c r="F29" s="39"/>
      <c r="G29" s="41">
        <v>2</v>
      </c>
      <c r="H29" s="11">
        <v>1</v>
      </c>
      <c r="I29" s="17">
        <f t="shared" ref="I29:K38" si="1">IF(H29="-","-",H29/$G29)</f>
        <v>0.5</v>
      </c>
      <c r="J29" s="11" t="s">
        <v>93</v>
      </c>
      <c r="K29" s="17" t="str">
        <f t="shared" si="1"/>
        <v>-</v>
      </c>
      <c r="L29" s="11">
        <v>1</v>
      </c>
      <c r="M29" s="17">
        <f t="shared" ref="M29" si="2">IF(L29="-","-",L29/$G29)</f>
        <v>0.5</v>
      </c>
      <c r="N29" s="11" t="s">
        <v>93</v>
      </c>
      <c r="O29" s="17" t="str">
        <f t="shared" ref="O29" si="3">IF(N29="-","-",N29/$G29)</f>
        <v>-</v>
      </c>
      <c r="P29" s="11" t="s">
        <v>93</v>
      </c>
      <c r="Q29" s="20" t="str">
        <f t="shared" ref="Q29" si="4">IF(P29="-","-",P29/$G29)</f>
        <v>-</v>
      </c>
    </row>
    <row r="30" spans="2:17" ht="18.75" customHeight="1" x14ac:dyDescent="0.25">
      <c r="B30" s="8" t="s">
        <v>4</v>
      </c>
      <c r="C30" s="10">
        <v>60</v>
      </c>
      <c r="D30" s="22">
        <v>60</v>
      </c>
      <c r="E30" s="17">
        <f t="shared" si="0"/>
        <v>1</v>
      </c>
      <c r="F30" s="39"/>
      <c r="G30" s="41">
        <v>0</v>
      </c>
      <c r="H30" s="11" t="s">
        <v>93</v>
      </c>
      <c r="I30" s="17" t="str">
        <f t="shared" si="1"/>
        <v>-</v>
      </c>
      <c r="J30" s="11" t="s">
        <v>93</v>
      </c>
      <c r="K30" s="17" t="str">
        <f t="shared" si="1"/>
        <v>-</v>
      </c>
      <c r="L30" s="11" t="s">
        <v>93</v>
      </c>
      <c r="M30" s="17" t="str">
        <f t="shared" ref="M30" si="5">IF(L30="-","-",L30/$G30)</f>
        <v>-</v>
      </c>
      <c r="N30" s="11" t="s">
        <v>93</v>
      </c>
      <c r="O30" s="17" t="str">
        <f t="shared" ref="O30" si="6">IF(N30="-","-",N30/$G30)</f>
        <v>-</v>
      </c>
      <c r="P30" s="11" t="s">
        <v>93</v>
      </c>
      <c r="Q30" s="20" t="str">
        <f t="shared" ref="Q30" si="7">IF(P30="-","-",P30/$G30)</f>
        <v>-</v>
      </c>
    </row>
    <row r="31" spans="2:17" ht="18.75" customHeight="1" x14ac:dyDescent="0.25">
      <c r="B31" s="8" t="s">
        <v>5</v>
      </c>
      <c r="C31" s="10">
        <v>60</v>
      </c>
      <c r="D31" s="22">
        <v>60</v>
      </c>
      <c r="E31" s="17">
        <f t="shared" si="0"/>
        <v>1</v>
      </c>
      <c r="F31" s="39"/>
      <c r="G31" s="41">
        <v>0</v>
      </c>
      <c r="H31" s="11" t="s">
        <v>93</v>
      </c>
      <c r="I31" s="17" t="str">
        <f t="shared" si="1"/>
        <v>-</v>
      </c>
      <c r="J31" s="11" t="s">
        <v>93</v>
      </c>
      <c r="K31" s="17" t="str">
        <f t="shared" si="1"/>
        <v>-</v>
      </c>
      <c r="L31" s="11" t="s">
        <v>93</v>
      </c>
      <c r="M31" s="17" t="str">
        <f t="shared" ref="M31" si="8">IF(L31="-","-",L31/$G31)</f>
        <v>-</v>
      </c>
      <c r="N31" s="11" t="s">
        <v>93</v>
      </c>
      <c r="O31" s="17" t="str">
        <f t="shared" ref="O31" si="9">IF(N31="-","-",N31/$G31)</f>
        <v>-</v>
      </c>
      <c r="P31" s="11" t="s">
        <v>93</v>
      </c>
      <c r="Q31" s="20" t="str">
        <f t="shared" ref="Q31" si="10">IF(P31="-","-",P31/$G31)</f>
        <v>-</v>
      </c>
    </row>
    <row r="32" spans="2:17" ht="18.75" customHeight="1" x14ac:dyDescent="0.25">
      <c r="B32" s="8" t="s">
        <v>6</v>
      </c>
      <c r="C32" s="10">
        <v>60</v>
      </c>
      <c r="D32" s="22">
        <v>60</v>
      </c>
      <c r="E32" s="17">
        <f t="shared" si="0"/>
        <v>1</v>
      </c>
      <c r="F32" s="39"/>
      <c r="G32" s="41">
        <v>0</v>
      </c>
      <c r="H32" s="11" t="s">
        <v>93</v>
      </c>
      <c r="I32" s="17" t="str">
        <f t="shared" si="1"/>
        <v>-</v>
      </c>
      <c r="J32" s="11" t="s">
        <v>93</v>
      </c>
      <c r="K32" s="17" t="str">
        <f t="shared" si="1"/>
        <v>-</v>
      </c>
      <c r="L32" s="11" t="s">
        <v>93</v>
      </c>
      <c r="M32" s="17" t="str">
        <f t="shared" ref="M32" si="11">IF(L32="-","-",L32/$G32)</f>
        <v>-</v>
      </c>
      <c r="N32" s="11" t="s">
        <v>93</v>
      </c>
      <c r="O32" s="17" t="str">
        <f t="shared" ref="O32" si="12">IF(N32="-","-",N32/$G32)</f>
        <v>-</v>
      </c>
      <c r="P32" s="11" t="s">
        <v>93</v>
      </c>
      <c r="Q32" s="20" t="str">
        <f t="shared" ref="Q32" si="13">IF(P32="-","-",P32/$G32)</f>
        <v>-</v>
      </c>
    </row>
    <row r="33" spans="2:17" ht="18.75" customHeight="1" x14ac:dyDescent="0.25">
      <c r="B33" s="8" t="s">
        <v>7</v>
      </c>
      <c r="C33" s="10">
        <v>60</v>
      </c>
      <c r="D33" s="22">
        <v>58</v>
      </c>
      <c r="E33" s="17">
        <f t="shared" si="0"/>
        <v>0.96666666666666667</v>
      </c>
      <c r="F33" s="39"/>
      <c r="G33" s="41">
        <v>2</v>
      </c>
      <c r="H33" s="11">
        <v>1</v>
      </c>
      <c r="I33" s="17">
        <f t="shared" si="1"/>
        <v>0.5</v>
      </c>
      <c r="J33" s="11" t="s">
        <v>93</v>
      </c>
      <c r="K33" s="17" t="str">
        <f t="shared" si="1"/>
        <v>-</v>
      </c>
      <c r="L33" s="11">
        <v>1</v>
      </c>
      <c r="M33" s="17">
        <f t="shared" ref="M33" si="14">IF(L33="-","-",L33/$G33)</f>
        <v>0.5</v>
      </c>
      <c r="N33" s="11" t="s">
        <v>93</v>
      </c>
      <c r="O33" s="17" t="str">
        <f t="shared" ref="O33" si="15">IF(N33="-","-",N33/$G33)</f>
        <v>-</v>
      </c>
      <c r="P33" s="11" t="s">
        <v>93</v>
      </c>
      <c r="Q33" s="20" t="str">
        <f t="shared" ref="Q33" si="16">IF(P33="-","-",P33/$G33)</f>
        <v>-</v>
      </c>
    </row>
    <row r="34" spans="2:17" ht="18.75" customHeight="1" x14ac:dyDescent="0.25">
      <c r="B34" s="8" t="s">
        <v>8</v>
      </c>
      <c r="C34" s="10">
        <v>60</v>
      </c>
      <c r="D34" s="22">
        <v>60</v>
      </c>
      <c r="E34" s="17">
        <f t="shared" si="0"/>
        <v>1</v>
      </c>
      <c r="F34" s="39"/>
      <c r="G34" s="41">
        <v>0</v>
      </c>
      <c r="H34" s="18" t="s">
        <v>93</v>
      </c>
      <c r="I34" s="13" t="str">
        <f t="shared" si="1"/>
        <v>-</v>
      </c>
      <c r="J34" s="11" t="s">
        <v>93</v>
      </c>
      <c r="K34" s="17" t="str">
        <f t="shared" si="1"/>
        <v>-</v>
      </c>
      <c r="L34" s="11" t="s">
        <v>93</v>
      </c>
      <c r="M34" s="17" t="str">
        <f t="shared" ref="M34" si="17">IF(L34="-","-",L34/$G34)</f>
        <v>-</v>
      </c>
      <c r="N34" s="11" t="s">
        <v>93</v>
      </c>
      <c r="O34" s="17" t="str">
        <f t="shared" ref="O34" si="18">IF(N34="-","-",N34/$G34)</f>
        <v>-</v>
      </c>
      <c r="P34" s="11" t="s">
        <v>93</v>
      </c>
      <c r="Q34" s="20" t="str">
        <f t="shared" ref="Q34" si="19">IF(P34="-","-",P34/$G34)</f>
        <v>-</v>
      </c>
    </row>
    <row r="35" spans="2:17" ht="18.75" customHeight="1" x14ac:dyDescent="0.25">
      <c r="B35" s="8" t="s">
        <v>9</v>
      </c>
      <c r="C35" s="10">
        <v>60</v>
      </c>
      <c r="D35" s="22">
        <v>60</v>
      </c>
      <c r="E35" s="17">
        <f t="shared" si="0"/>
        <v>1</v>
      </c>
      <c r="F35" s="39"/>
      <c r="G35" s="41">
        <v>0</v>
      </c>
      <c r="H35" s="18" t="s">
        <v>93</v>
      </c>
      <c r="I35" s="13" t="str">
        <f t="shared" si="1"/>
        <v>-</v>
      </c>
      <c r="J35" s="11" t="s">
        <v>93</v>
      </c>
      <c r="K35" s="17" t="str">
        <f t="shared" si="1"/>
        <v>-</v>
      </c>
      <c r="L35" s="11" t="s">
        <v>93</v>
      </c>
      <c r="M35" s="17" t="str">
        <f t="shared" ref="M35" si="20">IF(L35="-","-",L35/$G35)</f>
        <v>-</v>
      </c>
      <c r="N35" s="11" t="s">
        <v>93</v>
      </c>
      <c r="O35" s="17" t="str">
        <f t="shared" ref="O35" si="21">IF(N35="-","-",N35/$G35)</f>
        <v>-</v>
      </c>
      <c r="P35" s="11" t="s">
        <v>93</v>
      </c>
      <c r="Q35" s="20" t="str">
        <f t="shared" ref="Q35" si="22">IF(P35="-","-",P35/$G35)</f>
        <v>-</v>
      </c>
    </row>
    <row r="36" spans="2:17" ht="18.75" customHeight="1" x14ac:dyDescent="0.25">
      <c r="B36" s="8" t="s">
        <v>10</v>
      </c>
      <c r="C36" s="10">
        <v>60</v>
      </c>
      <c r="D36" s="22">
        <v>60</v>
      </c>
      <c r="E36" s="17">
        <f t="shared" si="0"/>
        <v>1</v>
      </c>
      <c r="F36" s="39"/>
      <c r="G36" s="41">
        <v>0</v>
      </c>
      <c r="H36" s="18" t="s">
        <v>93</v>
      </c>
      <c r="I36" s="13" t="str">
        <f t="shared" si="1"/>
        <v>-</v>
      </c>
      <c r="J36" s="11" t="s">
        <v>93</v>
      </c>
      <c r="K36" s="17" t="str">
        <f t="shared" si="1"/>
        <v>-</v>
      </c>
      <c r="L36" s="11" t="s">
        <v>93</v>
      </c>
      <c r="M36" s="17" t="str">
        <f t="shared" ref="M36" si="23">IF(L36="-","-",L36/$G36)</f>
        <v>-</v>
      </c>
      <c r="N36" s="11" t="s">
        <v>93</v>
      </c>
      <c r="O36" s="17" t="str">
        <f t="shared" ref="O36" si="24">IF(N36="-","-",N36/$G36)</f>
        <v>-</v>
      </c>
      <c r="P36" s="11" t="s">
        <v>93</v>
      </c>
      <c r="Q36" s="20" t="str">
        <f t="shared" ref="Q36" si="25">IF(P36="-","-",P36/$G36)</f>
        <v>-</v>
      </c>
    </row>
    <row r="37" spans="2:17" ht="18.75" customHeight="1" x14ac:dyDescent="0.25">
      <c r="B37" s="8" t="s">
        <v>11</v>
      </c>
      <c r="C37" s="10">
        <v>60</v>
      </c>
      <c r="D37" s="22">
        <v>59</v>
      </c>
      <c r="E37" s="17">
        <f t="shared" si="0"/>
        <v>0.98333333333333328</v>
      </c>
      <c r="F37" s="39"/>
      <c r="G37" s="41">
        <v>1</v>
      </c>
      <c r="H37" s="18" t="s">
        <v>93</v>
      </c>
      <c r="I37" s="13" t="str">
        <f t="shared" si="1"/>
        <v>-</v>
      </c>
      <c r="J37" s="17" t="s">
        <v>93</v>
      </c>
      <c r="K37" s="17" t="str">
        <f t="shared" si="1"/>
        <v>-</v>
      </c>
      <c r="L37" s="11">
        <v>1</v>
      </c>
      <c r="M37" s="17">
        <f t="shared" ref="M37" si="26">IF(L37="-","-",L37/$G37)</f>
        <v>1</v>
      </c>
      <c r="N37" s="17" t="s">
        <v>93</v>
      </c>
      <c r="O37" s="17" t="str">
        <f t="shared" ref="O37" si="27">IF(N37="-","-",N37/$G37)</f>
        <v>-</v>
      </c>
      <c r="P37" s="17" t="s">
        <v>93</v>
      </c>
      <c r="Q37" s="20" t="str">
        <f t="shared" ref="Q37" si="28">IF(P37="-","-",P37/$G37)</f>
        <v>-</v>
      </c>
    </row>
    <row r="38" spans="2:17" ht="18.75" customHeight="1" x14ac:dyDescent="0.25">
      <c r="B38" s="14" t="s">
        <v>13</v>
      </c>
      <c r="C38" s="51">
        <f>SUM(C28:C37)</f>
        <v>600</v>
      </c>
      <c r="D38" s="52">
        <f>SUM(D28:D37)</f>
        <v>595</v>
      </c>
      <c r="E38" s="53">
        <f t="shared" si="0"/>
        <v>0.9916666666666667</v>
      </c>
      <c r="F38" s="54"/>
      <c r="G38" s="59">
        <f>SUM(G28:G37)</f>
        <v>5</v>
      </c>
      <c r="H38" s="57">
        <f>SUM(H28:H37)</f>
        <v>2</v>
      </c>
      <c r="I38" s="53">
        <f t="shared" si="1"/>
        <v>0.4</v>
      </c>
      <c r="J38" s="53" t="s">
        <v>93</v>
      </c>
      <c r="K38" s="53" t="str">
        <f t="shared" si="1"/>
        <v>-</v>
      </c>
      <c r="L38" s="57">
        <f>SUM(L28:L37)</f>
        <v>3</v>
      </c>
      <c r="M38" s="53">
        <f t="shared" ref="M38" si="29">IF(L38="-","-",L38/$G38)</f>
        <v>0.6</v>
      </c>
      <c r="N38" s="53" t="s">
        <v>93</v>
      </c>
      <c r="O38" s="53" t="str">
        <f t="shared" ref="O38" si="30">IF(N38="-","-",N38/$G38)</f>
        <v>-</v>
      </c>
      <c r="P38" s="53" t="s">
        <v>93</v>
      </c>
      <c r="Q38" s="58" t="str">
        <f t="shared" ref="Q38" si="31">IF(P38="-","-",P38/$G38)</f>
        <v>-</v>
      </c>
    </row>
    <row r="39" spans="2:17" ht="30" customHeight="1" x14ac:dyDescent="0.25">
      <c r="B39" s="114" t="s">
        <v>151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</row>
  </sheetData>
  <mergeCells count="29">
    <mergeCell ref="N26:O26"/>
    <mergeCell ref="P26:Q26"/>
    <mergeCell ref="B39:Q39"/>
    <mergeCell ref="B24:Q24"/>
    <mergeCell ref="C25:E25"/>
    <mergeCell ref="G25:Q25"/>
    <mergeCell ref="B26:B27"/>
    <mergeCell ref="C26:C27"/>
    <mergeCell ref="D26:E26"/>
    <mergeCell ref="G26:G27"/>
    <mergeCell ref="H26:I26"/>
    <mergeCell ref="J26:K26"/>
    <mergeCell ref="L26:M26"/>
    <mergeCell ref="B23:Q23"/>
    <mergeCell ref="B2:Q2"/>
    <mergeCell ref="B4:Q4"/>
    <mergeCell ref="C5:E5"/>
    <mergeCell ref="G5:Q5"/>
    <mergeCell ref="B6:B7"/>
    <mergeCell ref="C6:C7"/>
    <mergeCell ref="D6:E6"/>
    <mergeCell ref="G6:G7"/>
    <mergeCell ref="H6:I6"/>
    <mergeCell ref="J6:K6"/>
    <mergeCell ref="L6:M6"/>
    <mergeCell ref="N6:O6"/>
    <mergeCell ref="P6:Q6"/>
    <mergeCell ref="B19:Q19"/>
    <mergeCell ref="B22:Q22"/>
  </mergeCells>
  <pageMargins left="0.7" right="0.7" top="0.75" bottom="0.75" header="0.3" footer="0.3"/>
  <ignoredErrors>
    <ignoredError sqref="L3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B410-F25C-4782-8EC9-06A020F3BB1C}">
  <dimension ref="B2:L39"/>
  <sheetViews>
    <sheetView zoomScaleNormal="100" workbookViewId="0"/>
  </sheetViews>
  <sheetFormatPr defaultColWidth="9.140625" defaultRowHeight="15" x14ac:dyDescent="0.25"/>
  <cols>
    <col min="1" max="1" width="9.140625" style="7"/>
    <col min="2" max="2" width="14.28515625" style="7" customWidth="1"/>
    <col min="3" max="3" width="10" style="7" customWidth="1"/>
    <col min="4" max="5" width="11.42578125" style="7" customWidth="1"/>
    <col min="6" max="6" width="1.42578125" style="7" customWidth="1"/>
    <col min="7" max="7" width="14.28515625" style="7" customWidth="1"/>
    <col min="8" max="9" width="11.42578125" style="7" customWidth="1"/>
    <col min="10" max="10" width="1.42578125" style="7" customWidth="1"/>
    <col min="11" max="12" width="11.42578125" style="7" customWidth="1"/>
    <col min="13" max="16384" width="9.140625" style="7"/>
  </cols>
  <sheetData>
    <row r="2" spans="2:12" x14ac:dyDescent="0.25">
      <c r="B2" s="102" t="s">
        <v>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4" spans="2:12" ht="33.75" customHeight="1" x14ac:dyDescent="0.25">
      <c r="B4" s="104" t="s">
        <v>135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2:12" ht="15" customHeight="1" x14ac:dyDescent="0.25">
      <c r="B5" s="9"/>
      <c r="C5" s="105" t="s">
        <v>53</v>
      </c>
      <c r="D5" s="105"/>
      <c r="E5" s="105"/>
      <c r="F5" s="36"/>
      <c r="G5" s="105" t="s">
        <v>76</v>
      </c>
      <c r="H5" s="105"/>
      <c r="I5" s="105"/>
      <c r="J5" s="36"/>
      <c r="K5" s="105" t="s">
        <v>74</v>
      </c>
      <c r="L5" s="105"/>
    </row>
    <row r="6" spans="2:12" ht="48.75" customHeight="1" x14ac:dyDescent="0.25">
      <c r="B6" s="106" t="s">
        <v>0</v>
      </c>
      <c r="C6" s="108" t="s">
        <v>1</v>
      </c>
      <c r="D6" s="110" t="s">
        <v>71</v>
      </c>
      <c r="E6" s="111"/>
      <c r="F6" s="37"/>
      <c r="G6" s="48" t="s">
        <v>73</v>
      </c>
      <c r="H6" s="110" t="s">
        <v>124</v>
      </c>
      <c r="I6" s="111"/>
      <c r="J6" s="37"/>
      <c r="K6" s="112" t="s">
        <v>75</v>
      </c>
      <c r="L6" s="113"/>
    </row>
    <row r="7" spans="2:12" x14ac:dyDescent="0.25">
      <c r="B7" s="107"/>
      <c r="C7" s="109"/>
      <c r="D7" s="27" t="s">
        <v>14</v>
      </c>
      <c r="E7" s="28" t="s">
        <v>15</v>
      </c>
      <c r="F7" s="38"/>
      <c r="G7" s="48" t="s">
        <v>14</v>
      </c>
      <c r="H7" s="47" t="s">
        <v>14</v>
      </c>
      <c r="I7" s="28" t="s">
        <v>15</v>
      </c>
      <c r="J7" s="38"/>
      <c r="K7" s="25" t="s">
        <v>14</v>
      </c>
      <c r="L7" s="25" t="s">
        <v>15</v>
      </c>
    </row>
    <row r="8" spans="2:12" ht="18.75" customHeight="1" x14ac:dyDescent="0.25">
      <c r="B8" s="8"/>
      <c r="C8" s="10"/>
      <c r="D8" s="22"/>
      <c r="E8" s="11"/>
      <c r="F8" s="39"/>
      <c r="G8" s="49"/>
      <c r="H8" s="22"/>
      <c r="I8" s="44"/>
      <c r="J8" s="39"/>
      <c r="K8" s="11"/>
      <c r="L8" s="10"/>
    </row>
    <row r="9" spans="2:12" ht="18.75" customHeight="1" x14ac:dyDescent="0.25">
      <c r="B9" s="8"/>
      <c r="C9" s="10"/>
      <c r="D9" s="22"/>
      <c r="E9" s="11"/>
      <c r="F9" s="39"/>
      <c r="G9" s="49"/>
      <c r="H9" s="22"/>
      <c r="I9" s="44"/>
      <c r="J9" s="39"/>
      <c r="K9" s="11"/>
      <c r="L9" s="10"/>
    </row>
    <row r="10" spans="2:12" ht="18.75" customHeight="1" x14ac:dyDescent="0.25">
      <c r="B10" s="8"/>
      <c r="C10" s="10"/>
      <c r="D10" s="22"/>
      <c r="E10" s="11"/>
      <c r="F10" s="39"/>
      <c r="G10" s="49"/>
      <c r="H10" s="22"/>
      <c r="I10" s="44"/>
      <c r="J10" s="39"/>
      <c r="K10" s="11"/>
      <c r="L10" s="10"/>
    </row>
    <row r="11" spans="2:12" ht="18.75" customHeight="1" x14ac:dyDescent="0.25">
      <c r="B11" s="8"/>
      <c r="C11" s="10"/>
      <c r="D11" s="22"/>
      <c r="E11" s="11"/>
      <c r="F11" s="39"/>
      <c r="G11" s="49"/>
      <c r="H11" s="22"/>
      <c r="I11" s="44"/>
      <c r="J11" s="39"/>
      <c r="K11" s="11"/>
      <c r="L11" s="10"/>
    </row>
    <row r="12" spans="2:12" ht="18.75" customHeight="1" x14ac:dyDescent="0.25">
      <c r="B12" s="8"/>
      <c r="C12" s="10"/>
      <c r="D12" s="22"/>
      <c r="E12" s="11"/>
      <c r="F12" s="39"/>
      <c r="G12" s="49"/>
      <c r="H12" s="22"/>
      <c r="I12" s="44"/>
      <c r="J12" s="39"/>
      <c r="K12" s="11"/>
      <c r="L12" s="10"/>
    </row>
    <row r="13" spans="2:12" ht="18.75" customHeight="1" x14ac:dyDescent="0.25">
      <c r="B13" s="8"/>
      <c r="C13" s="10"/>
      <c r="D13" s="22"/>
      <c r="E13" s="11"/>
      <c r="F13" s="39"/>
      <c r="G13" s="49"/>
      <c r="H13" s="22"/>
      <c r="I13" s="44"/>
      <c r="J13" s="39"/>
      <c r="K13" s="11"/>
      <c r="L13" s="10"/>
    </row>
    <row r="14" spans="2:12" ht="18.75" customHeight="1" x14ac:dyDescent="0.25">
      <c r="B14" s="8"/>
      <c r="C14" s="10"/>
      <c r="D14" s="22"/>
      <c r="E14" s="11"/>
      <c r="F14" s="39"/>
      <c r="G14" s="49"/>
      <c r="H14" s="22"/>
      <c r="I14" s="44"/>
      <c r="J14" s="39"/>
      <c r="K14" s="11"/>
      <c r="L14" s="10"/>
    </row>
    <row r="15" spans="2:12" ht="18.75" customHeight="1" x14ac:dyDescent="0.25">
      <c r="B15" s="8"/>
      <c r="C15" s="10"/>
      <c r="D15" s="22"/>
      <c r="E15" s="11"/>
      <c r="F15" s="39"/>
      <c r="G15" s="49"/>
      <c r="H15" s="22"/>
      <c r="I15" s="44"/>
      <c r="J15" s="39"/>
      <c r="K15" s="11"/>
      <c r="L15" s="10"/>
    </row>
    <row r="16" spans="2:12" ht="18.75" customHeight="1" x14ac:dyDescent="0.25">
      <c r="B16" s="8"/>
      <c r="C16" s="10"/>
      <c r="D16" s="22"/>
      <c r="E16" s="11"/>
      <c r="F16" s="39"/>
      <c r="G16" s="49"/>
      <c r="H16" s="22"/>
      <c r="I16" s="44"/>
      <c r="J16" s="39"/>
      <c r="K16" s="11"/>
      <c r="L16" s="10"/>
    </row>
    <row r="17" spans="2:12" ht="18.75" customHeight="1" x14ac:dyDescent="0.25">
      <c r="B17" s="8"/>
      <c r="C17" s="10"/>
      <c r="D17" s="22"/>
      <c r="E17" s="11"/>
      <c r="F17" s="39"/>
      <c r="G17" s="49"/>
      <c r="H17" s="22"/>
      <c r="I17" s="44"/>
      <c r="J17" s="39"/>
      <c r="K17" s="11"/>
      <c r="L17" s="10"/>
    </row>
    <row r="18" spans="2:12" ht="18.75" customHeight="1" x14ac:dyDescent="0.25">
      <c r="B18" s="14" t="s">
        <v>13</v>
      </c>
      <c r="C18" s="24"/>
      <c r="D18" s="21"/>
      <c r="E18" s="15"/>
      <c r="F18" s="40"/>
      <c r="G18" s="50"/>
      <c r="H18" s="21"/>
      <c r="I18" s="45"/>
      <c r="J18" s="40"/>
      <c r="K18" s="15"/>
      <c r="L18" s="24"/>
    </row>
    <row r="19" spans="2:12" ht="30" customHeight="1" x14ac:dyDescent="0.25">
      <c r="B19" s="114" t="s">
        <v>151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</row>
    <row r="20" spans="2:12" ht="18.75" customHeight="1" x14ac:dyDescent="0.25"/>
    <row r="21" spans="2:12" ht="18.75" customHeight="1" x14ac:dyDescent="0.25"/>
    <row r="22" spans="2:12" x14ac:dyDescent="0.25">
      <c r="B22" s="102" t="s">
        <v>12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</row>
    <row r="24" spans="2:12" ht="33.75" customHeight="1" x14ac:dyDescent="0.25">
      <c r="B24" s="104" t="s">
        <v>136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</row>
    <row r="25" spans="2:12" x14ac:dyDescent="0.25">
      <c r="B25" s="9"/>
      <c r="C25" s="105" t="s">
        <v>53</v>
      </c>
      <c r="D25" s="105"/>
      <c r="E25" s="105"/>
      <c r="F25" s="36"/>
      <c r="G25" s="105" t="s">
        <v>76</v>
      </c>
      <c r="H25" s="105"/>
      <c r="I25" s="105"/>
      <c r="J25" s="36"/>
      <c r="K25" s="105" t="s">
        <v>74</v>
      </c>
      <c r="L25" s="105"/>
    </row>
    <row r="26" spans="2:12" ht="45" x14ac:dyDescent="0.25">
      <c r="B26" s="106" t="s">
        <v>0</v>
      </c>
      <c r="C26" s="108" t="s">
        <v>1</v>
      </c>
      <c r="D26" s="110" t="s">
        <v>71</v>
      </c>
      <c r="E26" s="111"/>
      <c r="F26" s="37"/>
      <c r="G26" s="48" t="s">
        <v>73</v>
      </c>
      <c r="H26" s="110" t="s">
        <v>124</v>
      </c>
      <c r="I26" s="111"/>
      <c r="J26" s="37"/>
      <c r="K26" s="112" t="s">
        <v>75</v>
      </c>
      <c r="L26" s="113"/>
    </row>
    <row r="27" spans="2:12" x14ac:dyDescent="0.25">
      <c r="B27" s="107"/>
      <c r="C27" s="109"/>
      <c r="D27" s="27" t="s">
        <v>14</v>
      </c>
      <c r="E27" s="28" t="s">
        <v>15</v>
      </c>
      <c r="F27" s="38"/>
      <c r="G27" s="48" t="s">
        <v>14</v>
      </c>
      <c r="H27" s="47" t="s">
        <v>14</v>
      </c>
      <c r="I27" s="28" t="s">
        <v>15</v>
      </c>
      <c r="J27" s="38"/>
      <c r="K27" s="25" t="s">
        <v>14</v>
      </c>
      <c r="L27" s="25" t="s">
        <v>15</v>
      </c>
    </row>
    <row r="28" spans="2:12" ht="18.75" customHeight="1" x14ac:dyDescent="0.25">
      <c r="B28" s="8" t="s">
        <v>2</v>
      </c>
      <c r="C28" s="10">
        <v>60</v>
      </c>
      <c r="D28" s="22">
        <v>60</v>
      </c>
      <c r="E28" s="17">
        <f t="shared" ref="E28:E38" si="0">D28/C28</f>
        <v>1</v>
      </c>
      <c r="F28" s="39"/>
      <c r="G28" s="49">
        <v>129</v>
      </c>
      <c r="H28" s="22">
        <v>119</v>
      </c>
      <c r="I28" s="46">
        <f>H28/G28</f>
        <v>0.92248062015503873</v>
      </c>
      <c r="J28" s="39"/>
      <c r="K28" s="11">
        <v>7</v>
      </c>
      <c r="L28" s="20">
        <f>K28/C28</f>
        <v>0.11666666666666667</v>
      </c>
    </row>
    <row r="29" spans="2:12" ht="18.75" customHeight="1" x14ac:dyDescent="0.25">
      <c r="B29" s="8" t="s">
        <v>3</v>
      </c>
      <c r="C29" s="10">
        <v>60</v>
      </c>
      <c r="D29" s="22">
        <v>58</v>
      </c>
      <c r="E29" s="17">
        <f t="shared" si="0"/>
        <v>0.96666666666666667</v>
      </c>
      <c r="F29" s="39"/>
      <c r="G29" s="49">
        <v>146</v>
      </c>
      <c r="H29" s="22">
        <v>137</v>
      </c>
      <c r="I29" s="46">
        <f t="shared" ref="I29:I37" si="1">H29/G29</f>
        <v>0.93835616438356162</v>
      </c>
      <c r="J29" s="39"/>
      <c r="K29" s="11">
        <v>4</v>
      </c>
      <c r="L29" s="20">
        <f t="shared" ref="L29:L37" si="2">K29/C29</f>
        <v>6.6666666666666666E-2</v>
      </c>
    </row>
    <row r="30" spans="2:12" ht="18.75" customHeight="1" x14ac:dyDescent="0.25">
      <c r="B30" s="8" t="s">
        <v>4</v>
      </c>
      <c r="C30" s="10">
        <v>60</v>
      </c>
      <c r="D30" s="22">
        <v>60</v>
      </c>
      <c r="E30" s="17">
        <f t="shared" si="0"/>
        <v>1</v>
      </c>
      <c r="F30" s="39"/>
      <c r="G30" s="49">
        <v>131</v>
      </c>
      <c r="H30" s="22">
        <v>127</v>
      </c>
      <c r="I30" s="46">
        <f t="shared" si="1"/>
        <v>0.96946564885496178</v>
      </c>
      <c r="J30" s="39"/>
      <c r="K30" s="11">
        <v>1</v>
      </c>
      <c r="L30" s="20">
        <f t="shared" si="2"/>
        <v>1.6666666666666666E-2</v>
      </c>
    </row>
    <row r="31" spans="2:12" ht="18.75" customHeight="1" x14ac:dyDescent="0.25">
      <c r="B31" s="8" t="s">
        <v>5</v>
      </c>
      <c r="C31" s="10">
        <v>60</v>
      </c>
      <c r="D31" s="22">
        <v>60</v>
      </c>
      <c r="E31" s="17">
        <f t="shared" si="0"/>
        <v>1</v>
      </c>
      <c r="F31" s="39"/>
      <c r="G31" s="49">
        <v>123</v>
      </c>
      <c r="H31" s="22">
        <v>123</v>
      </c>
      <c r="I31" s="46">
        <f t="shared" si="1"/>
        <v>1</v>
      </c>
      <c r="J31" s="39"/>
      <c r="K31" s="11">
        <v>9</v>
      </c>
      <c r="L31" s="20">
        <f t="shared" si="2"/>
        <v>0.15</v>
      </c>
    </row>
    <row r="32" spans="2:12" ht="18.75" customHeight="1" x14ac:dyDescent="0.25">
      <c r="B32" s="8" t="s">
        <v>6</v>
      </c>
      <c r="C32" s="10">
        <v>60</v>
      </c>
      <c r="D32" s="22">
        <v>60</v>
      </c>
      <c r="E32" s="17">
        <f t="shared" si="0"/>
        <v>1</v>
      </c>
      <c r="F32" s="39"/>
      <c r="G32" s="49">
        <v>159</v>
      </c>
      <c r="H32" s="22">
        <v>156</v>
      </c>
      <c r="I32" s="46">
        <f t="shared" si="1"/>
        <v>0.98113207547169812</v>
      </c>
      <c r="J32" s="39"/>
      <c r="K32" s="11">
        <v>3</v>
      </c>
      <c r="L32" s="20">
        <f t="shared" si="2"/>
        <v>0.05</v>
      </c>
    </row>
    <row r="33" spans="2:12" ht="18.75" customHeight="1" x14ac:dyDescent="0.25">
      <c r="B33" s="8" t="s">
        <v>7</v>
      </c>
      <c r="C33" s="10">
        <v>60</v>
      </c>
      <c r="D33" s="22">
        <v>58</v>
      </c>
      <c r="E33" s="17">
        <f t="shared" si="0"/>
        <v>0.96666666666666667</v>
      </c>
      <c r="F33" s="39"/>
      <c r="G33" s="49">
        <v>155</v>
      </c>
      <c r="H33" s="22">
        <v>153</v>
      </c>
      <c r="I33" s="46">
        <f t="shared" si="1"/>
        <v>0.98709677419354835</v>
      </c>
      <c r="J33" s="39"/>
      <c r="K33" s="11">
        <v>17</v>
      </c>
      <c r="L33" s="20">
        <f t="shared" si="2"/>
        <v>0.28333333333333333</v>
      </c>
    </row>
    <row r="34" spans="2:12" ht="18.75" customHeight="1" x14ac:dyDescent="0.25">
      <c r="B34" s="8" t="s">
        <v>8</v>
      </c>
      <c r="C34" s="10">
        <v>60</v>
      </c>
      <c r="D34" s="22">
        <v>60</v>
      </c>
      <c r="E34" s="17">
        <f t="shared" si="0"/>
        <v>1</v>
      </c>
      <c r="F34" s="39"/>
      <c r="G34" s="49">
        <v>170</v>
      </c>
      <c r="H34" s="22">
        <v>164</v>
      </c>
      <c r="I34" s="46">
        <f t="shared" si="1"/>
        <v>0.96470588235294119</v>
      </c>
      <c r="J34" s="39"/>
      <c r="K34" s="11">
        <v>0</v>
      </c>
      <c r="L34" s="20">
        <f t="shared" si="2"/>
        <v>0</v>
      </c>
    </row>
    <row r="35" spans="2:12" ht="18.75" customHeight="1" x14ac:dyDescent="0.25">
      <c r="B35" s="8" t="s">
        <v>9</v>
      </c>
      <c r="C35" s="10">
        <v>60</v>
      </c>
      <c r="D35" s="22">
        <v>60</v>
      </c>
      <c r="E35" s="17">
        <f t="shared" si="0"/>
        <v>1</v>
      </c>
      <c r="F35" s="39"/>
      <c r="G35" s="49">
        <v>165</v>
      </c>
      <c r="H35" s="22">
        <v>164</v>
      </c>
      <c r="I35" s="46">
        <f t="shared" si="1"/>
        <v>0.9939393939393939</v>
      </c>
      <c r="J35" s="39"/>
      <c r="K35" s="11">
        <v>8</v>
      </c>
      <c r="L35" s="20">
        <f t="shared" si="2"/>
        <v>0.13333333333333333</v>
      </c>
    </row>
    <row r="36" spans="2:12" ht="18.75" customHeight="1" x14ac:dyDescent="0.25">
      <c r="B36" s="8" t="s">
        <v>10</v>
      </c>
      <c r="C36" s="10">
        <v>60</v>
      </c>
      <c r="D36" s="22">
        <v>60</v>
      </c>
      <c r="E36" s="17">
        <f t="shared" si="0"/>
        <v>1</v>
      </c>
      <c r="F36" s="39"/>
      <c r="G36" s="49">
        <v>137</v>
      </c>
      <c r="H36" s="22">
        <v>137</v>
      </c>
      <c r="I36" s="46">
        <f t="shared" si="1"/>
        <v>1</v>
      </c>
      <c r="J36" s="39"/>
      <c r="K36" s="11">
        <v>4</v>
      </c>
      <c r="L36" s="20">
        <f t="shared" si="2"/>
        <v>6.6666666666666666E-2</v>
      </c>
    </row>
    <row r="37" spans="2:12" ht="18.75" customHeight="1" x14ac:dyDescent="0.25">
      <c r="B37" s="8" t="s">
        <v>11</v>
      </c>
      <c r="C37" s="10">
        <v>60</v>
      </c>
      <c r="D37" s="22">
        <v>59</v>
      </c>
      <c r="E37" s="17">
        <f t="shared" si="0"/>
        <v>0.98333333333333328</v>
      </c>
      <c r="F37" s="39"/>
      <c r="G37" s="49">
        <v>129</v>
      </c>
      <c r="H37" s="22">
        <v>126</v>
      </c>
      <c r="I37" s="46">
        <f t="shared" si="1"/>
        <v>0.97674418604651159</v>
      </c>
      <c r="J37" s="39"/>
      <c r="K37" s="11">
        <v>15</v>
      </c>
      <c r="L37" s="20">
        <f t="shared" si="2"/>
        <v>0.25</v>
      </c>
    </row>
    <row r="38" spans="2:12" ht="18.75" customHeight="1" x14ac:dyDescent="0.25">
      <c r="B38" s="14" t="s">
        <v>13</v>
      </c>
      <c r="C38" s="51">
        <f>SUM(C28:C37)</f>
        <v>600</v>
      </c>
      <c r="D38" s="52">
        <f>SUM(D28:D37)</f>
        <v>595</v>
      </c>
      <c r="E38" s="53">
        <f t="shared" si="0"/>
        <v>0.9916666666666667</v>
      </c>
      <c r="F38" s="54"/>
      <c r="G38" s="55">
        <f>SUM(G28:G37)</f>
        <v>1444</v>
      </c>
      <c r="H38" s="52">
        <f>SUM(H28:H37)</f>
        <v>1406</v>
      </c>
      <c r="I38" s="56">
        <f>H38/G38</f>
        <v>0.97368421052631582</v>
      </c>
      <c r="J38" s="54"/>
      <c r="K38" s="57">
        <f>SUM(K28:K37)</f>
        <v>68</v>
      </c>
      <c r="L38" s="58">
        <f>K38/C38</f>
        <v>0.11333333333333333</v>
      </c>
    </row>
    <row r="39" spans="2:12" ht="30" customHeight="1" x14ac:dyDescent="0.25">
      <c r="B39" s="114" t="s">
        <v>151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</row>
  </sheetData>
  <mergeCells count="22">
    <mergeCell ref="B39:L39"/>
    <mergeCell ref="K6:L6"/>
    <mergeCell ref="K26:L26"/>
    <mergeCell ref="H6:I6"/>
    <mergeCell ref="B24:L24"/>
    <mergeCell ref="C25:E25"/>
    <mergeCell ref="B26:B27"/>
    <mergeCell ref="C26:C27"/>
    <mergeCell ref="D26:E26"/>
    <mergeCell ref="B19:L19"/>
    <mergeCell ref="B22:L22"/>
    <mergeCell ref="G25:I25"/>
    <mergeCell ref="K25:L25"/>
    <mergeCell ref="H26:I26"/>
    <mergeCell ref="B2:L2"/>
    <mergeCell ref="B4:L4"/>
    <mergeCell ref="C5:E5"/>
    <mergeCell ref="B6:B7"/>
    <mergeCell ref="C6:C7"/>
    <mergeCell ref="D6:E6"/>
    <mergeCell ref="G5:I5"/>
    <mergeCell ref="K5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8E42-EADE-4816-819C-3ACD7E67FE75}">
  <dimension ref="B2:J39"/>
  <sheetViews>
    <sheetView zoomScaleNormal="100" workbookViewId="0"/>
  </sheetViews>
  <sheetFormatPr defaultColWidth="9.140625" defaultRowHeight="15" x14ac:dyDescent="0.25"/>
  <cols>
    <col min="1" max="1" width="9.140625" style="7"/>
    <col min="2" max="3" width="14.28515625" style="7" customWidth="1"/>
    <col min="4" max="6" width="18.5703125" style="7" customWidth="1"/>
    <col min="7" max="16384" width="9.140625" style="7"/>
  </cols>
  <sheetData>
    <row r="2" spans="2:6" x14ac:dyDescent="0.25">
      <c r="B2" s="102" t="s">
        <v>16</v>
      </c>
      <c r="C2" s="103"/>
      <c r="D2" s="103"/>
      <c r="E2" s="103"/>
      <c r="F2" s="103"/>
    </row>
    <row r="4" spans="2:6" ht="33.75" customHeight="1" x14ac:dyDescent="0.25">
      <c r="B4" s="104" t="s">
        <v>137</v>
      </c>
      <c r="C4" s="104"/>
      <c r="D4" s="104"/>
      <c r="E4" s="104"/>
      <c r="F4" s="104"/>
    </row>
    <row r="5" spans="2:6" ht="15" customHeight="1" x14ac:dyDescent="0.25">
      <c r="B5" s="9"/>
      <c r="C5" s="105" t="s">
        <v>77</v>
      </c>
      <c r="D5" s="105"/>
      <c r="E5" s="105"/>
      <c r="F5" s="105"/>
    </row>
    <row r="6" spans="2:6" ht="48.75" customHeight="1" x14ac:dyDescent="0.25">
      <c r="B6" s="106" t="s">
        <v>0</v>
      </c>
      <c r="C6" s="108" t="s">
        <v>78</v>
      </c>
      <c r="D6" s="27" t="s">
        <v>79</v>
      </c>
      <c r="E6" s="25" t="s">
        <v>80</v>
      </c>
      <c r="F6" s="25" t="s">
        <v>81</v>
      </c>
    </row>
    <row r="7" spans="2:6" x14ac:dyDescent="0.25">
      <c r="B7" s="107"/>
      <c r="C7" s="109"/>
      <c r="D7" s="25" t="s">
        <v>15</v>
      </c>
      <c r="E7" s="25" t="s">
        <v>15</v>
      </c>
      <c r="F7" s="25" t="s">
        <v>15</v>
      </c>
    </row>
    <row r="8" spans="2:6" ht="18.75" customHeight="1" x14ac:dyDescent="0.25">
      <c r="B8" s="8"/>
      <c r="C8" s="10"/>
      <c r="D8" s="22"/>
      <c r="E8" s="44"/>
      <c r="F8" s="10"/>
    </row>
    <row r="9" spans="2:6" ht="18.75" customHeight="1" x14ac:dyDescent="0.25">
      <c r="B9" s="8"/>
      <c r="C9" s="10"/>
      <c r="D9" s="22"/>
      <c r="E9" s="44"/>
      <c r="F9" s="10"/>
    </row>
    <row r="10" spans="2:6" ht="18.75" customHeight="1" x14ac:dyDescent="0.25">
      <c r="B10" s="8"/>
      <c r="C10" s="10"/>
      <c r="D10" s="22"/>
      <c r="E10" s="44"/>
      <c r="F10" s="10"/>
    </row>
    <row r="11" spans="2:6" ht="18.75" customHeight="1" x14ac:dyDescent="0.25">
      <c r="B11" s="8"/>
      <c r="C11" s="10"/>
      <c r="D11" s="22"/>
      <c r="E11" s="44"/>
      <c r="F11" s="10"/>
    </row>
    <row r="12" spans="2:6" ht="18.75" customHeight="1" x14ac:dyDescent="0.25">
      <c r="B12" s="8"/>
      <c r="C12" s="10"/>
      <c r="D12" s="22"/>
      <c r="E12" s="44"/>
      <c r="F12" s="10"/>
    </row>
    <row r="13" spans="2:6" ht="18.75" customHeight="1" x14ac:dyDescent="0.25">
      <c r="B13" s="8"/>
      <c r="C13" s="10"/>
      <c r="D13" s="22"/>
      <c r="E13" s="44"/>
      <c r="F13" s="10"/>
    </row>
    <row r="14" spans="2:6" ht="18.75" customHeight="1" x14ac:dyDescent="0.25">
      <c r="B14" s="8"/>
      <c r="C14" s="10"/>
      <c r="D14" s="22"/>
      <c r="E14" s="44"/>
      <c r="F14" s="10"/>
    </row>
    <row r="15" spans="2:6" ht="18.75" customHeight="1" x14ac:dyDescent="0.25">
      <c r="B15" s="8"/>
      <c r="C15" s="10"/>
      <c r="D15" s="22"/>
      <c r="E15" s="44"/>
      <c r="F15" s="10"/>
    </row>
    <row r="16" spans="2:6" ht="18.75" customHeight="1" x14ac:dyDescent="0.25">
      <c r="B16" s="8"/>
      <c r="C16" s="10"/>
      <c r="D16" s="22"/>
      <c r="E16" s="44"/>
      <c r="F16" s="10"/>
    </row>
    <row r="17" spans="2:10" ht="18.75" customHeight="1" x14ac:dyDescent="0.25">
      <c r="B17" s="8"/>
      <c r="C17" s="10"/>
      <c r="D17" s="22"/>
      <c r="E17" s="44"/>
      <c r="F17" s="10"/>
    </row>
    <row r="18" spans="2:10" ht="18.75" customHeight="1" x14ac:dyDescent="0.25">
      <c r="B18" s="14" t="s">
        <v>13</v>
      </c>
      <c r="C18" s="24"/>
      <c r="D18" s="21"/>
      <c r="E18" s="45"/>
      <c r="F18" s="24"/>
    </row>
    <row r="19" spans="2:10" ht="57" customHeight="1" x14ac:dyDescent="0.25">
      <c r="B19" s="114" t="s">
        <v>152</v>
      </c>
      <c r="C19" s="114"/>
      <c r="D19" s="114"/>
      <c r="E19" s="114"/>
      <c r="F19" s="114"/>
    </row>
    <row r="20" spans="2:10" ht="18.75" customHeight="1" x14ac:dyDescent="0.25"/>
    <row r="21" spans="2:10" ht="18.75" customHeight="1" x14ac:dyDescent="0.25"/>
    <row r="22" spans="2:10" x14ac:dyDescent="0.25">
      <c r="B22" s="102" t="s">
        <v>12</v>
      </c>
      <c r="C22" s="103"/>
      <c r="D22" s="103"/>
      <c r="E22" s="103"/>
      <c r="F22" s="103"/>
    </row>
    <row r="24" spans="2:10" ht="33.75" customHeight="1" x14ac:dyDescent="0.25">
      <c r="B24" s="104" t="s">
        <v>142</v>
      </c>
      <c r="C24" s="104"/>
      <c r="D24" s="104"/>
      <c r="E24" s="104"/>
      <c r="F24" s="104"/>
    </row>
    <row r="25" spans="2:10" x14ac:dyDescent="0.25">
      <c r="B25" s="9"/>
      <c r="C25" s="105" t="s">
        <v>77</v>
      </c>
      <c r="D25" s="105"/>
      <c r="E25" s="105"/>
      <c r="F25" s="105"/>
    </row>
    <row r="26" spans="2:10" ht="48.75" customHeight="1" x14ac:dyDescent="0.25">
      <c r="B26" s="106" t="s">
        <v>0</v>
      </c>
      <c r="C26" s="108" t="s">
        <v>78</v>
      </c>
      <c r="D26" s="27" t="s">
        <v>79</v>
      </c>
      <c r="E26" s="25" t="s">
        <v>80</v>
      </c>
      <c r="F26" s="25" t="s">
        <v>81</v>
      </c>
    </row>
    <row r="27" spans="2:10" x14ac:dyDescent="0.25">
      <c r="B27" s="107"/>
      <c r="C27" s="109"/>
      <c r="D27" s="25" t="s">
        <v>15</v>
      </c>
      <c r="E27" s="25" t="s">
        <v>15</v>
      </c>
      <c r="F27" s="25" t="s">
        <v>15</v>
      </c>
    </row>
    <row r="28" spans="2:10" ht="18.75" customHeight="1" x14ac:dyDescent="0.25">
      <c r="B28" s="8" t="s">
        <v>2</v>
      </c>
      <c r="C28" s="10">
        <v>258</v>
      </c>
      <c r="D28" s="62">
        <v>0.95248062015503876</v>
      </c>
      <c r="E28" s="46">
        <v>0.93248062015503874</v>
      </c>
      <c r="F28" s="20">
        <v>0.12866666666666668</v>
      </c>
      <c r="H28" s="63"/>
      <c r="I28" s="63"/>
      <c r="J28" s="63"/>
    </row>
    <row r="29" spans="2:10" ht="18.75" customHeight="1" x14ac:dyDescent="0.25">
      <c r="B29" s="8" t="s">
        <v>3</v>
      </c>
      <c r="C29" s="10">
        <v>292</v>
      </c>
      <c r="D29" s="62">
        <v>0.96835616438356165</v>
      </c>
      <c r="E29" s="46">
        <v>0.94835616438356163</v>
      </c>
      <c r="F29" s="20">
        <v>7.8666666666666663E-2</v>
      </c>
      <c r="H29" s="63"/>
      <c r="I29" s="63"/>
      <c r="J29" s="63"/>
    </row>
    <row r="30" spans="2:10" ht="18.75" customHeight="1" x14ac:dyDescent="0.25">
      <c r="B30" s="8" t="s">
        <v>4</v>
      </c>
      <c r="C30" s="10">
        <v>262</v>
      </c>
      <c r="D30" s="62">
        <v>0.99946564885496181</v>
      </c>
      <c r="E30" s="46">
        <v>0.97946564885496179</v>
      </c>
      <c r="F30" s="20">
        <v>2.8666666666666667E-2</v>
      </c>
      <c r="H30" s="63"/>
      <c r="I30" s="63"/>
      <c r="J30" s="63"/>
    </row>
    <row r="31" spans="2:10" ht="18.75" customHeight="1" x14ac:dyDescent="0.25">
      <c r="B31" s="8" t="s">
        <v>5</v>
      </c>
      <c r="C31" s="10">
        <v>246</v>
      </c>
      <c r="D31" s="62">
        <v>1</v>
      </c>
      <c r="E31" s="46">
        <v>1</v>
      </c>
      <c r="F31" s="20">
        <v>0.16200000000000001</v>
      </c>
      <c r="H31" s="63"/>
      <c r="I31" s="63"/>
      <c r="J31" s="63"/>
    </row>
    <row r="32" spans="2:10" ht="18.75" customHeight="1" x14ac:dyDescent="0.25">
      <c r="B32" s="8" t="s">
        <v>6</v>
      </c>
      <c r="C32" s="10">
        <v>318</v>
      </c>
      <c r="D32" s="62">
        <v>1</v>
      </c>
      <c r="E32" s="46">
        <v>0.99113207547169813</v>
      </c>
      <c r="F32" s="20">
        <v>6.2E-2</v>
      </c>
      <c r="H32" s="63"/>
      <c r="I32" s="63"/>
      <c r="J32" s="63"/>
    </row>
    <row r="33" spans="2:10" ht="18.75" customHeight="1" x14ac:dyDescent="0.25">
      <c r="B33" s="8" t="s">
        <v>7</v>
      </c>
      <c r="C33" s="10">
        <v>310</v>
      </c>
      <c r="D33" s="62">
        <v>1</v>
      </c>
      <c r="E33" s="46">
        <v>0.99709677419354836</v>
      </c>
      <c r="F33" s="20">
        <v>0.29533333333333334</v>
      </c>
      <c r="H33" s="63"/>
      <c r="I33" s="63"/>
      <c r="J33" s="63"/>
    </row>
    <row r="34" spans="2:10" ht="18.75" customHeight="1" x14ac:dyDescent="0.25">
      <c r="B34" s="8" t="s">
        <v>8</v>
      </c>
      <c r="C34" s="10">
        <v>340</v>
      </c>
      <c r="D34" s="62">
        <v>0.99470588235294122</v>
      </c>
      <c r="E34" s="46">
        <v>0.9747058823529412</v>
      </c>
      <c r="F34" s="20">
        <v>1.2E-2</v>
      </c>
      <c r="H34" s="63"/>
      <c r="I34" s="63"/>
      <c r="J34" s="63"/>
    </row>
    <row r="35" spans="2:10" ht="18.75" customHeight="1" x14ac:dyDescent="0.25">
      <c r="B35" s="8" t="s">
        <v>9</v>
      </c>
      <c r="C35" s="10">
        <v>330</v>
      </c>
      <c r="D35" s="62">
        <v>1</v>
      </c>
      <c r="E35" s="46">
        <v>1.0039393939393939</v>
      </c>
      <c r="F35" s="20">
        <v>0.14533333333333334</v>
      </c>
      <c r="H35" s="63"/>
      <c r="I35" s="63"/>
      <c r="J35" s="63"/>
    </row>
    <row r="36" spans="2:10" ht="18.75" customHeight="1" x14ac:dyDescent="0.25">
      <c r="B36" s="8" t="s">
        <v>10</v>
      </c>
      <c r="C36" s="10">
        <v>274</v>
      </c>
      <c r="D36" s="62">
        <v>1</v>
      </c>
      <c r="E36" s="46">
        <v>1</v>
      </c>
      <c r="F36" s="20">
        <v>7.8666666666666663E-2</v>
      </c>
      <c r="H36" s="63"/>
      <c r="I36" s="63"/>
      <c r="J36" s="63"/>
    </row>
    <row r="37" spans="2:10" ht="18.75" customHeight="1" x14ac:dyDescent="0.25">
      <c r="B37" s="8" t="s">
        <v>11</v>
      </c>
      <c r="C37" s="10">
        <v>258</v>
      </c>
      <c r="D37" s="62">
        <v>1</v>
      </c>
      <c r="E37" s="46">
        <v>0.9867441860465116</v>
      </c>
      <c r="F37" s="20">
        <v>0.26200000000000001</v>
      </c>
      <c r="H37" s="63"/>
      <c r="I37" s="63"/>
      <c r="J37" s="63"/>
    </row>
    <row r="38" spans="2:10" ht="18.75" customHeight="1" x14ac:dyDescent="0.25">
      <c r="B38" s="14" t="s">
        <v>13</v>
      </c>
      <c r="C38" s="64">
        <f>SUM(C28:C37)</f>
        <v>2888</v>
      </c>
      <c r="D38" s="65">
        <v>0.99</v>
      </c>
      <c r="E38" s="66">
        <v>0.98</v>
      </c>
      <c r="F38" s="67">
        <v>0.13</v>
      </c>
    </row>
    <row r="39" spans="2:10" ht="56.25" customHeight="1" x14ac:dyDescent="0.25">
      <c r="B39" s="114" t="s">
        <v>152</v>
      </c>
      <c r="C39" s="114"/>
      <c r="D39" s="114"/>
      <c r="E39" s="114"/>
      <c r="F39" s="114"/>
    </row>
  </sheetData>
  <mergeCells count="12">
    <mergeCell ref="B24:F24"/>
    <mergeCell ref="C25:F25"/>
    <mergeCell ref="B26:B27"/>
    <mergeCell ref="C26:C27"/>
    <mergeCell ref="B39:F39"/>
    <mergeCell ref="B19:F19"/>
    <mergeCell ref="B22:F22"/>
    <mergeCell ref="B2:F2"/>
    <mergeCell ref="B4:F4"/>
    <mergeCell ref="C5:F5"/>
    <mergeCell ref="B6:B7"/>
    <mergeCell ref="C6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CC24-9EA9-4E81-9FB7-BC35967627C1}">
  <dimension ref="B2:X39"/>
  <sheetViews>
    <sheetView zoomScaleNormal="100" workbookViewId="0"/>
  </sheetViews>
  <sheetFormatPr defaultColWidth="9.140625" defaultRowHeight="15" x14ac:dyDescent="0.25"/>
  <cols>
    <col min="1" max="1" width="9.140625" style="7"/>
    <col min="2" max="3" width="14.28515625" style="7" customWidth="1"/>
    <col min="4" max="5" width="10" style="7" customWidth="1"/>
    <col min="6" max="6" width="1.42578125" style="7" customWidth="1"/>
    <col min="7" max="7" width="14.28515625" style="7" customWidth="1"/>
    <col min="8" max="9" width="10" style="7" customWidth="1"/>
    <col min="10" max="10" width="1.42578125" style="7" customWidth="1"/>
    <col min="11" max="11" width="11.42578125" style="7" customWidth="1"/>
    <col min="12" max="13" width="10" style="7" customWidth="1"/>
    <col min="14" max="14" width="1.42578125" style="7" customWidth="1"/>
    <col min="15" max="15" width="11.42578125" style="7" customWidth="1"/>
    <col min="16" max="17" width="10" style="7" customWidth="1"/>
    <col min="18" max="18" width="1.42578125" style="7" customWidth="1"/>
    <col min="19" max="19" width="11.42578125" style="7" customWidth="1"/>
    <col min="20" max="21" width="10" style="7" customWidth="1"/>
    <col min="22" max="16384" width="9.140625" style="7"/>
  </cols>
  <sheetData>
    <row r="2" spans="2:21" x14ac:dyDescent="0.25">
      <c r="B2" s="102" t="s">
        <v>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</row>
    <row r="4" spans="2:21" ht="33.75" customHeight="1" x14ac:dyDescent="0.25">
      <c r="B4" s="104" t="s">
        <v>138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</row>
    <row r="5" spans="2:21" ht="15" customHeight="1" x14ac:dyDescent="0.25">
      <c r="B5" s="9"/>
      <c r="C5" s="105" t="s">
        <v>82</v>
      </c>
      <c r="D5" s="105"/>
      <c r="E5" s="105"/>
      <c r="F5" s="105"/>
      <c r="G5" s="105"/>
      <c r="H5" s="105"/>
      <c r="I5" s="105"/>
      <c r="J5" s="36"/>
      <c r="K5" s="105" t="s">
        <v>87</v>
      </c>
      <c r="L5" s="105"/>
      <c r="M5" s="105"/>
      <c r="N5" s="105"/>
      <c r="O5" s="105"/>
      <c r="P5" s="105"/>
      <c r="Q5" s="105"/>
      <c r="R5" s="105"/>
      <c r="S5" s="105"/>
      <c r="T5" s="105"/>
      <c r="U5" s="105"/>
    </row>
    <row r="6" spans="2:21" ht="48.75" customHeight="1" x14ac:dyDescent="0.25">
      <c r="B6" s="106" t="s">
        <v>0</v>
      </c>
      <c r="C6" s="108" t="s">
        <v>83</v>
      </c>
      <c r="D6" s="110" t="s">
        <v>90</v>
      </c>
      <c r="E6" s="111"/>
      <c r="F6" s="37"/>
      <c r="G6" s="108" t="s">
        <v>85</v>
      </c>
      <c r="H6" s="110" t="s">
        <v>91</v>
      </c>
      <c r="I6" s="111"/>
      <c r="J6" s="37"/>
      <c r="K6" s="108" t="s">
        <v>78</v>
      </c>
      <c r="L6" s="110" t="s">
        <v>92</v>
      </c>
      <c r="M6" s="111"/>
      <c r="N6" s="37"/>
      <c r="O6" s="108" t="s">
        <v>88</v>
      </c>
      <c r="P6" s="110" t="s">
        <v>92</v>
      </c>
      <c r="Q6" s="111"/>
      <c r="R6" s="37"/>
      <c r="S6" s="108" t="s">
        <v>89</v>
      </c>
      <c r="T6" s="110" t="s">
        <v>92</v>
      </c>
      <c r="U6" s="111"/>
    </row>
    <row r="7" spans="2:21" x14ac:dyDescent="0.25">
      <c r="B7" s="107"/>
      <c r="C7" s="109"/>
      <c r="D7" s="27" t="s">
        <v>14</v>
      </c>
      <c r="E7" s="28" t="s">
        <v>15</v>
      </c>
      <c r="F7" s="38"/>
      <c r="G7" s="109"/>
      <c r="H7" s="27" t="s">
        <v>14</v>
      </c>
      <c r="I7" s="28" t="s">
        <v>15</v>
      </c>
      <c r="J7" s="38"/>
      <c r="K7" s="109"/>
      <c r="L7" s="27" t="s">
        <v>14</v>
      </c>
      <c r="M7" s="25" t="s">
        <v>15</v>
      </c>
      <c r="N7" s="38"/>
      <c r="O7" s="109"/>
      <c r="P7" s="25" t="s">
        <v>14</v>
      </c>
      <c r="Q7" s="25" t="s">
        <v>15</v>
      </c>
      <c r="R7" s="38"/>
      <c r="S7" s="109"/>
      <c r="T7" s="25" t="s">
        <v>14</v>
      </c>
      <c r="U7" s="25" t="s">
        <v>15</v>
      </c>
    </row>
    <row r="8" spans="2:21" ht="18.75" customHeight="1" x14ac:dyDescent="0.25">
      <c r="B8" s="8"/>
      <c r="C8" s="10"/>
      <c r="D8" s="22"/>
      <c r="E8" s="11"/>
      <c r="F8" s="39"/>
      <c r="G8" s="10"/>
      <c r="H8" s="22"/>
      <c r="I8" s="11"/>
      <c r="J8" s="39"/>
      <c r="K8" s="41"/>
      <c r="L8" s="18"/>
      <c r="M8" s="12"/>
      <c r="N8" s="39"/>
      <c r="O8" s="41"/>
      <c r="P8" s="11"/>
      <c r="Q8" s="11"/>
      <c r="R8" s="39"/>
      <c r="S8" s="41"/>
      <c r="T8" s="11"/>
      <c r="U8" s="10"/>
    </row>
    <row r="9" spans="2:21" ht="18.75" customHeight="1" x14ac:dyDescent="0.25">
      <c r="B9" s="8"/>
      <c r="C9" s="10"/>
      <c r="D9" s="22"/>
      <c r="E9" s="11"/>
      <c r="F9" s="39"/>
      <c r="G9" s="10"/>
      <c r="H9" s="22"/>
      <c r="I9" s="11"/>
      <c r="J9" s="39"/>
      <c r="K9" s="41"/>
      <c r="L9" s="18"/>
      <c r="M9" s="13"/>
      <c r="N9" s="39"/>
      <c r="O9" s="41"/>
      <c r="P9" s="11"/>
      <c r="Q9" s="11"/>
      <c r="R9" s="39"/>
      <c r="S9" s="41"/>
      <c r="T9" s="11"/>
      <c r="U9" s="10"/>
    </row>
    <row r="10" spans="2:21" ht="18.75" customHeight="1" x14ac:dyDescent="0.25">
      <c r="B10" s="8"/>
      <c r="C10" s="10"/>
      <c r="D10" s="22"/>
      <c r="E10" s="11"/>
      <c r="F10" s="39"/>
      <c r="G10" s="10"/>
      <c r="H10" s="22"/>
      <c r="I10" s="11"/>
      <c r="J10" s="39"/>
      <c r="K10" s="41"/>
      <c r="L10" s="18"/>
      <c r="M10" s="13"/>
      <c r="N10" s="39"/>
      <c r="O10" s="41"/>
      <c r="P10" s="11"/>
      <c r="Q10" s="11"/>
      <c r="R10" s="39"/>
      <c r="S10" s="41"/>
      <c r="T10" s="11"/>
      <c r="U10" s="10"/>
    </row>
    <row r="11" spans="2:21" ht="18.75" customHeight="1" x14ac:dyDescent="0.25">
      <c r="B11" s="8"/>
      <c r="C11" s="10"/>
      <c r="D11" s="22"/>
      <c r="E11" s="11"/>
      <c r="F11" s="39"/>
      <c r="G11" s="10"/>
      <c r="H11" s="22"/>
      <c r="I11" s="11"/>
      <c r="J11" s="39"/>
      <c r="K11" s="41"/>
      <c r="L11" s="18"/>
      <c r="M11" s="13"/>
      <c r="N11" s="39"/>
      <c r="O11" s="41"/>
      <c r="P11" s="11"/>
      <c r="Q11" s="11"/>
      <c r="R11" s="39"/>
      <c r="S11" s="41"/>
      <c r="T11" s="11"/>
      <c r="U11" s="10"/>
    </row>
    <row r="12" spans="2:21" ht="18.75" customHeight="1" x14ac:dyDescent="0.25">
      <c r="B12" s="8"/>
      <c r="C12" s="10"/>
      <c r="D12" s="22"/>
      <c r="E12" s="11"/>
      <c r="F12" s="39"/>
      <c r="G12" s="10"/>
      <c r="H12" s="22"/>
      <c r="I12" s="11"/>
      <c r="J12" s="39"/>
      <c r="K12" s="41"/>
      <c r="L12" s="18"/>
      <c r="M12" s="13"/>
      <c r="N12" s="39"/>
      <c r="O12" s="41"/>
      <c r="P12" s="11"/>
      <c r="Q12" s="11"/>
      <c r="R12" s="39"/>
      <c r="S12" s="41"/>
      <c r="T12" s="11"/>
      <c r="U12" s="10"/>
    </row>
    <row r="13" spans="2:21" ht="18.75" customHeight="1" x14ac:dyDescent="0.25">
      <c r="B13" s="8"/>
      <c r="C13" s="10"/>
      <c r="D13" s="22"/>
      <c r="E13" s="11"/>
      <c r="F13" s="39"/>
      <c r="G13" s="10"/>
      <c r="H13" s="22"/>
      <c r="I13" s="11"/>
      <c r="J13" s="39"/>
      <c r="K13" s="41"/>
      <c r="L13" s="18"/>
      <c r="M13" s="13"/>
      <c r="N13" s="39"/>
      <c r="O13" s="41"/>
      <c r="P13" s="11"/>
      <c r="Q13" s="11"/>
      <c r="R13" s="39"/>
      <c r="S13" s="41"/>
      <c r="T13" s="11"/>
      <c r="U13" s="10"/>
    </row>
    <row r="14" spans="2:21" ht="18.75" customHeight="1" x14ac:dyDescent="0.25">
      <c r="B14" s="8"/>
      <c r="C14" s="10"/>
      <c r="D14" s="22"/>
      <c r="E14" s="11"/>
      <c r="F14" s="39"/>
      <c r="G14" s="10"/>
      <c r="H14" s="22"/>
      <c r="I14" s="11"/>
      <c r="J14" s="39"/>
      <c r="K14" s="41"/>
      <c r="L14" s="18"/>
      <c r="M14" s="13"/>
      <c r="N14" s="39"/>
      <c r="O14" s="41"/>
      <c r="P14" s="11"/>
      <c r="Q14" s="11"/>
      <c r="R14" s="39"/>
      <c r="S14" s="41"/>
      <c r="T14" s="11"/>
      <c r="U14" s="10"/>
    </row>
    <row r="15" spans="2:21" ht="18.75" customHeight="1" x14ac:dyDescent="0.25">
      <c r="B15" s="8"/>
      <c r="C15" s="10"/>
      <c r="D15" s="22"/>
      <c r="E15" s="11"/>
      <c r="F15" s="39"/>
      <c r="G15" s="10"/>
      <c r="H15" s="22"/>
      <c r="I15" s="11"/>
      <c r="J15" s="39"/>
      <c r="K15" s="41"/>
      <c r="L15" s="18"/>
      <c r="M15" s="13"/>
      <c r="N15" s="39"/>
      <c r="O15" s="41"/>
      <c r="P15" s="11"/>
      <c r="Q15" s="11"/>
      <c r="R15" s="39"/>
      <c r="S15" s="41"/>
      <c r="T15" s="11"/>
      <c r="U15" s="10"/>
    </row>
    <row r="16" spans="2:21" ht="18.75" customHeight="1" x14ac:dyDescent="0.25">
      <c r="B16" s="8"/>
      <c r="C16" s="10"/>
      <c r="D16" s="22"/>
      <c r="E16" s="11"/>
      <c r="F16" s="39"/>
      <c r="G16" s="10"/>
      <c r="H16" s="22"/>
      <c r="I16" s="11"/>
      <c r="J16" s="39"/>
      <c r="K16" s="41"/>
      <c r="L16" s="18"/>
      <c r="M16" s="13"/>
      <c r="N16" s="39"/>
      <c r="O16" s="41"/>
      <c r="P16" s="11"/>
      <c r="Q16" s="11"/>
      <c r="R16" s="39"/>
      <c r="S16" s="41"/>
      <c r="T16" s="11"/>
      <c r="U16" s="10"/>
    </row>
    <row r="17" spans="2:24" ht="18.75" customHeight="1" x14ac:dyDescent="0.25">
      <c r="B17" s="8"/>
      <c r="C17" s="10"/>
      <c r="D17" s="22"/>
      <c r="E17" s="11"/>
      <c r="F17" s="39"/>
      <c r="G17" s="10"/>
      <c r="H17" s="22"/>
      <c r="I17" s="11"/>
      <c r="J17" s="39"/>
      <c r="K17" s="41"/>
      <c r="L17" s="18"/>
      <c r="M17" s="13"/>
      <c r="N17" s="39"/>
      <c r="O17" s="41"/>
      <c r="P17" s="11"/>
      <c r="Q17" s="11"/>
      <c r="R17" s="39"/>
      <c r="S17" s="41"/>
      <c r="T17" s="11"/>
      <c r="U17" s="10"/>
    </row>
    <row r="18" spans="2:24" ht="18.75" customHeight="1" x14ac:dyDescent="0.25">
      <c r="B18" s="14" t="s">
        <v>13</v>
      </c>
      <c r="C18" s="24"/>
      <c r="D18" s="21"/>
      <c r="E18" s="15"/>
      <c r="F18" s="40"/>
      <c r="G18" s="24"/>
      <c r="H18" s="21"/>
      <c r="I18" s="15"/>
      <c r="J18" s="40"/>
      <c r="K18" s="42"/>
      <c r="L18" s="19"/>
      <c r="M18" s="16"/>
      <c r="N18" s="40"/>
      <c r="O18" s="42"/>
      <c r="P18" s="15"/>
      <c r="Q18" s="15"/>
      <c r="R18" s="40"/>
      <c r="S18" s="42"/>
      <c r="T18" s="15"/>
      <c r="U18" s="24"/>
    </row>
    <row r="19" spans="2:24" ht="30" customHeight="1" x14ac:dyDescent="0.25">
      <c r="B19" s="114" t="s">
        <v>151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</row>
    <row r="20" spans="2:24" ht="18.75" customHeight="1" x14ac:dyDescent="0.25"/>
    <row r="21" spans="2:24" ht="18.75" customHeight="1" x14ac:dyDescent="0.25"/>
    <row r="22" spans="2:24" x14ac:dyDescent="0.25">
      <c r="B22" s="102" t="s">
        <v>12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</row>
    <row r="23" spans="2:24" x14ac:dyDescent="0.25"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</row>
    <row r="24" spans="2:24" ht="33.75" customHeight="1" x14ac:dyDescent="0.25">
      <c r="B24" s="104" t="s">
        <v>141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</row>
    <row r="25" spans="2:24" ht="15" customHeight="1" x14ac:dyDescent="0.25">
      <c r="B25" s="9"/>
      <c r="C25" s="105" t="s">
        <v>82</v>
      </c>
      <c r="D25" s="105"/>
      <c r="E25" s="105"/>
      <c r="F25" s="105"/>
      <c r="G25" s="105"/>
      <c r="H25" s="105"/>
      <c r="I25" s="105"/>
      <c r="J25" s="36"/>
      <c r="K25" s="105" t="s">
        <v>87</v>
      </c>
      <c r="L25" s="105"/>
      <c r="M25" s="105"/>
      <c r="N25" s="105"/>
      <c r="O25" s="105"/>
      <c r="P25" s="105"/>
      <c r="Q25" s="105"/>
      <c r="R25" s="105"/>
      <c r="S25" s="105"/>
      <c r="T25" s="105"/>
      <c r="U25" s="105"/>
    </row>
    <row r="26" spans="2:24" ht="48.75" customHeight="1" x14ac:dyDescent="0.25">
      <c r="B26" s="106" t="s">
        <v>0</v>
      </c>
      <c r="C26" s="108" t="s">
        <v>83</v>
      </c>
      <c r="D26" s="110" t="s">
        <v>84</v>
      </c>
      <c r="E26" s="111"/>
      <c r="F26" s="37"/>
      <c r="G26" s="108" t="s">
        <v>85</v>
      </c>
      <c r="H26" s="110" t="s">
        <v>86</v>
      </c>
      <c r="I26" s="111"/>
      <c r="J26" s="37"/>
      <c r="K26" s="108" t="s">
        <v>78</v>
      </c>
      <c r="L26" s="110" t="s">
        <v>92</v>
      </c>
      <c r="M26" s="111"/>
      <c r="N26" s="37"/>
      <c r="O26" s="108" t="s">
        <v>88</v>
      </c>
      <c r="P26" s="110" t="s">
        <v>92</v>
      </c>
      <c r="Q26" s="111"/>
      <c r="R26" s="37"/>
      <c r="S26" s="108" t="s">
        <v>89</v>
      </c>
      <c r="T26" s="110" t="s">
        <v>92</v>
      </c>
      <c r="U26" s="113"/>
    </row>
    <row r="27" spans="2:24" x14ac:dyDescent="0.25">
      <c r="B27" s="107"/>
      <c r="C27" s="109"/>
      <c r="D27" s="27" t="s">
        <v>14</v>
      </c>
      <c r="E27" s="28" t="s">
        <v>15</v>
      </c>
      <c r="F27" s="38"/>
      <c r="G27" s="109"/>
      <c r="H27" s="27" t="s">
        <v>14</v>
      </c>
      <c r="I27" s="28" t="s">
        <v>15</v>
      </c>
      <c r="J27" s="38"/>
      <c r="K27" s="109"/>
      <c r="L27" s="27" t="s">
        <v>14</v>
      </c>
      <c r="M27" s="25" t="s">
        <v>15</v>
      </c>
      <c r="N27" s="38"/>
      <c r="O27" s="109"/>
      <c r="P27" s="25" t="s">
        <v>14</v>
      </c>
      <c r="Q27" s="25" t="s">
        <v>15</v>
      </c>
      <c r="R27" s="38"/>
      <c r="S27" s="109"/>
      <c r="T27" s="25" t="s">
        <v>14</v>
      </c>
      <c r="U27" s="25" t="s">
        <v>15</v>
      </c>
    </row>
    <row r="28" spans="2:24" ht="18.75" customHeight="1" x14ac:dyDescent="0.25">
      <c r="B28" s="8" t="s">
        <v>2</v>
      </c>
      <c r="C28" s="10">
        <v>119</v>
      </c>
      <c r="D28" s="22">
        <v>111</v>
      </c>
      <c r="E28" s="17">
        <f t="shared" ref="E28:E38" si="0">D28/C28</f>
        <v>0.9327731092436975</v>
      </c>
      <c r="F28" s="39"/>
      <c r="G28" s="10">
        <v>13</v>
      </c>
      <c r="H28" s="22">
        <v>3</v>
      </c>
      <c r="I28" s="17">
        <f t="shared" ref="I28:I38" si="1">H28/G28</f>
        <v>0.23076923076923078</v>
      </c>
      <c r="J28" s="39"/>
      <c r="K28" s="41">
        <v>258</v>
      </c>
      <c r="L28" s="11">
        <v>227</v>
      </c>
      <c r="M28" s="23">
        <f>L28/K28</f>
        <v>0.87984496124031009</v>
      </c>
      <c r="N28" s="39"/>
      <c r="O28" s="41">
        <v>51</v>
      </c>
      <c r="P28" s="11">
        <v>48</v>
      </c>
      <c r="Q28" s="17">
        <f>P28/O28</f>
        <v>0.94117647058823528</v>
      </c>
      <c r="R28" s="39"/>
      <c r="S28" s="41">
        <v>15</v>
      </c>
      <c r="T28" s="11">
        <v>15</v>
      </c>
      <c r="U28" s="20">
        <f>T28/S28</f>
        <v>1</v>
      </c>
      <c r="W28" s="63"/>
      <c r="X28" s="68"/>
    </row>
    <row r="29" spans="2:24" ht="18.75" customHeight="1" x14ac:dyDescent="0.25">
      <c r="B29" s="8" t="s">
        <v>3</v>
      </c>
      <c r="C29" s="10">
        <v>137</v>
      </c>
      <c r="D29" s="22">
        <v>114</v>
      </c>
      <c r="E29" s="17">
        <f t="shared" si="0"/>
        <v>0.83211678832116787</v>
      </c>
      <c r="F29" s="39"/>
      <c r="G29" s="10">
        <v>7</v>
      </c>
      <c r="H29" s="22">
        <v>0</v>
      </c>
      <c r="I29" s="17">
        <f t="shared" si="1"/>
        <v>0</v>
      </c>
      <c r="J29" s="39"/>
      <c r="K29" s="41">
        <v>292</v>
      </c>
      <c r="L29" s="11">
        <v>239</v>
      </c>
      <c r="M29" s="17">
        <f t="shared" ref="M29:M37" si="2">L29/K29</f>
        <v>0.81849315068493156</v>
      </c>
      <c r="N29" s="39"/>
      <c r="O29" s="41">
        <v>58</v>
      </c>
      <c r="P29" s="11">
        <v>50</v>
      </c>
      <c r="Q29" s="17">
        <f t="shared" ref="Q29:Q38" si="3">P29/O29</f>
        <v>0.86206896551724133</v>
      </c>
      <c r="R29" s="39"/>
      <c r="S29" s="41">
        <v>17</v>
      </c>
      <c r="T29" s="11">
        <v>17</v>
      </c>
      <c r="U29" s="20">
        <f t="shared" ref="U29:U38" si="4">T29/S29</f>
        <v>1</v>
      </c>
      <c r="W29" s="63"/>
      <c r="X29" s="68"/>
    </row>
    <row r="30" spans="2:24" ht="18.75" customHeight="1" x14ac:dyDescent="0.25">
      <c r="B30" s="8" t="s">
        <v>4</v>
      </c>
      <c r="C30" s="10">
        <v>127</v>
      </c>
      <c r="D30" s="22">
        <v>120</v>
      </c>
      <c r="E30" s="17">
        <f t="shared" si="0"/>
        <v>0.94488188976377951</v>
      </c>
      <c r="F30" s="39"/>
      <c r="G30" s="10">
        <v>1</v>
      </c>
      <c r="H30" s="22">
        <v>0</v>
      </c>
      <c r="I30" s="17">
        <f t="shared" si="1"/>
        <v>0</v>
      </c>
      <c r="J30" s="39"/>
      <c r="K30" s="41">
        <v>262</v>
      </c>
      <c r="L30" s="11">
        <v>225</v>
      </c>
      <c r="M30" s="17">
        <f t="shared" si="2"/>
        <v>0.85877862595419852</v>
      </c>
      <c r="N30" s="39"/>
      <c r="O30" s="41">
        <v>52</v>
      </c>
      <c r="P30" s="11">
        <v>43</v>
      </c>
      <c r="Q30" s="17">
        <f>P30/O30</f>
        <v>0.82692307692307687</v>
      </c>
      <c r="R30" s="39"/>
      <c r="S30" s="41">
        <v>15</v>
      </c>
      <c r="T30" s="11">
        <v>15</v>
      </c>
      <c r="U30" s="20">
        <f t="shared" si="4"/>
        <v>1</v>
      </c>
      <c r="W30" s="63"/>
      <c r="X30" s="68"/>
    </row>
    <row r="31" spans="2:24" ht="18.75" customHeight="1" x14ac:dyDescent="0.25">
      <c r="B31" s="8" t="s">
        <v>5</v>
      </c>
      <c r="C31" s="10">
        <v>123</v>
      </c>
      <c r="D31" s="22">
        <v>118</v>
      </c>
      <c r="E31" s="17">
        <f t="shared" si="0"/>
        <v>0.95934959349593496</v>
      </c>
      <c r="F31" s="39"/>
      <c r="G31" s="10">
        <v>13</v>
      </c>
      <c r="H31" s="22">
        <v>4</v>
      </c>
      <c r="I31" s="17">
        <f t="shared" si="1"/>
        <v>0.30769230769230771</v>
      </c>
      <c r="J31" s="39"/>
      <c r="K31" s="41">
        <v>246</v>
      </c>
      <c r="L31" s="11">
        <v>226</v>
      </c>
      <c r="M31" s="17">
        <f t="shared" si="2"/>
        <v>0.91869918699186992</v>
      </c>
      <c r="N31" s="39"/>
      <c r="O31" s="41">
        <v>49</v>
      </c>
      <c r="P31" s="11">
        <v>48</v>
      </c>
      <c r="Q31" s="17">
        <f t="shared" si="3"/>
        <v>0.97959183673469385</v>
      </c>
      <c r="R31" s="39"/>
      <c r="S31" s="41">
        <v>14</v>
      </c>
      <c r="T31" s="11">
        <v>14</v>
      </c>
      <c r="U31" s="20">
        <f t="shared" si="4"/>
        <v>1</v>
      </c>
      <c r="W31" s="63"/>
      <c r="X31" s="68"/>
    </row>
    <row r="32" spans="2:24" ht="18.75" customHeight="1" x14ac:dyDescent="0.25">
      <c r="B32" s="8" t="s">
        <v>6</v>
      </c>
      <c r="C32" s="10">
        <v>156</v>
      </c>
      <c r="D32" s="22">
        <v>135</v>
      </c>
      <c r="E32" s="17">
        <f t="shared" si="0"/>
        <v>0.86538461538461542</v>
      </c>
      <c r="F32" s="39"/>
      <c r="G32" s="10">
        <v>5</v>
      </c>
      <c r="H32" s="22">
        <v>2</v>
      </c>
      <c r="I32" s="17">
        <f t="shared" si="1"/>
        <v>0.4</v>
      </c>
      <c r="J32" s="39"/>
      <c r="K32" s="41">
        <v>318</v>
      </c>
      <c r="L32" s="11">
        <v>289</v>
      </c>
      <c r="M32" s="17">
        <f t="shared" si="2"/>
        <v>0.9088050314465409</v>
      </c>
      <c r="N32" s="39"/>
      <c r="O32" s="41">
        <v>63</v>
      </c>
      <c r="P32" s="11">
        <v>59</v>
      </c>
      <c r="Q32" s="17">
        <f t="shared" si="3"/>
        <v>0.93650793650793651</v>
      </c>
      <c r="R32" s="39"/>
      <c r="S32" s="41">
        <v>19</v>
      </c>
      <c r="T32" s="11">
        <v>17</v>
      </c>
      <c r="U32" s="20">
        <f t="shared" si="4"/>
        <v>0.89473684210526316</v>
      </c>
      <c r="W32" s="63"/>
      <c r="X32" s="68"/>
    </row>
    <row r="33" spans="2:24" ht="18.75" customHeight="1" x14ac:dyDescent="0.25">
      <c r="B33" s="8" t="s">
        <v>7</v>
      </c>
      <c r="C33" s="10">
        <v>153</v>
      </c>
      <c r="D33" s="22">
        <v>132</v>
      </c>
      <c r="E33" s="17">
        <f t="shared" si="0"/>
        <v>0.86274509803921573</v>
      </c>
      <c r="F33" s="39"/>
      <c r="G33" s="10">
        <v>25</v>
      </c>
      <c r="H33" s="22">
        <v>21</v>
      </c>
      <c r="I33" s="17">
        <f t="shared" si="1"/>
        <v>0.84</v>
      </c>
      <c r="J33" s="39"/>
      <c r="K33" s="41">
        <v>310</v>
      </c>
      <c r="L33" s="11">
        <v>276</v>
      </c>
      <c r="M33" s="17">
        <f t="shared" si="2"/>
        <v>0.89032258064516134</v>
      </c>
      <c r="N33" s="39"/>
      <c r="O33" s="41">
        <v>62</v>
      </c>
      <c r="P33" s="11">
        <v>60</v>
      </c>
      <c r="Q33" s="17">
        <f t="shared" si="3"/>
        <v>0.967741935483871</v>
      </c>
      <c r="R33" s="39"/>
      <c r="S33" s="41">
        <v>18</v>
      </c>
      <c r="T33" s="11">
        <v>16</v>
      </c>
      <c r="U33" s="20">
        <f t="shared" si="4"/>
        <v>0.88888888888888884</v>
      </c>
      <c r="W33" s="63"/>
      <c r="X33" s="68"/>
    </row>
    <row r="34" spans="2:24" ht="18.75" customHeight="1" x14ac:dyDescent="0.25">
      <c r="B34" s="8" t="s">
        <v>8</v>
      </c>
      <c r="C34" s="10">
        <v>164</v>
      </c>
      <c r="D34" s="22">
        <v>140</v>
      </c>
      <c r="E34" s="17">
        <f t="shared" si="0"/>
        <v>0.85365853658536583</v>
      </c>
      <c r="F34" s="39"/>
      <c r="G34" s="10">
        <v>0</v>
      </c>
      <c r="H34" s="22">
        <v>0</v>
      </c>
      <c r="I34" s="17" t="s">
        <v>93</v>
      </c>
      <c r="J34" s="39"/>
      <c r="K34" s="41">
        <v>340</v>
      </c>
      <c r="L34" s="11">
        <v>282</v>
      </c>
      <c r="M34" s="20">
        <f t="shared" si="2"/>
        <v>0.8294117647058824</v>
      </c>
      <c r="N34" s="39"/>
      <c r="O34" s="41">
        <v>68</v>
      </c>
      <c r="P34" s="11">
        <v>62</v>
      </c>
      <c r="Q34" s="17">
        <f t="shared" si="3"/>
        <v>0.91176470588235292</v>
      </c>
      <c r="R34" s="39"/>
      <c r="S34" s="41">
        <v>20</v>
      </c>
      <c r="T34" s="11">
        <v>18</v>
      </c>
      <c r="U34" s="20">
        <f t="shared" si="4"/>
        <v>0.9</v>
      </c>
      <c r="W34" s="63"/>
      <c r="X34" s="68"/>
    </row>
    <row r="35" spans="2:24" ht="18.75" customHeight="1" x14ac:dyDescent="0.25">
      <c r="B35" s="8" t="s">
        <v>9</v>
      </c>
      <c r="C35" s="10">
        <v>164</v>
      </c>
      <c r="D35" s="22">
        <v>151</v>
      </c>
      <c r="E35" s="17">
        <f t="shared" si="0"/>
        <v>0.92073170731707321</v>
      </c>
      <c r="F35" s="39"/>
      <c r="G35" s="10">
        <v>13</v>
      </c>
      <c r="H35" s="22">
        <v>7</v>
      </c>
      <c r="I35" s="17">
        <f t="shared" si="1"/>
        <v>0.53846153846153844</v>
      </c>
      <c r="J35" s="39"/>
      <c r="K35" s="41">
        <v>330</v>
      </c>
      <c r="L35" s="11">
        <v>310</v>
      </c>
      <c r="M35" s="20">
        <f t="shared" si="2"/>
        <v>0.93939393939393945</v>
      </c>
      <c r="N35" s="39"/>
      <c r="O35" s="41">
        <v>66</v>
      </c>
      <c r="P35" s="11">
        <v>60</v>
      </c>
      <c r="Q35" s="17">
        <f t="shared" si="3"/>
        <v>0.90909090909090906</v>
      </c>
      <c r="R35" s="39"/>
      <c r="S35" s="41">
        <v>19</v>
      </c>
      <c r="T35" s="11">
        <v>19</v>
      </c>
      <c r="U35" s="20">
        <f t="shared" si="4"/>
        <v>1</v>
      </c>
      <c r="W35" s="63"/>
      <c r="X35" s="68"/>
    </row>
    <row r="36" spans="2:24" ht="18.75" customHeight="1" x14ac:dyDescent="0.25">
      <c r="B36" s="8" t="s">
        <v>10</v>
      </c>
      <c r="C36" s="10">
        <v>137</v>
      </c>
      <c r="D36" s="22">
        <v>130</v>
      </c>
      <c r="E36" s="17">
        <f t="shared" si="0"/>
        <v>0.94890510948905105</v>
      </c>
      <c r="F36" s="39"/>
      <c r="G36" s="10">
        <v>7</v>
      </c>
      <c r="H36" s="22">
        <v>3</v>
      </c>
      <c r="I36" s="17">
        <f t="shared" si="1"/>
        <v>0.42857142857142855</v>
      </c>
      <c r="J36" s="39"/>
      <c r="K36" s="41">
        <v>274</v>
      </c>
      <c r="L36" s="11">
        <v>252</v>
      </c>
      <c r="M36" s="20">
        <f t="shared" si="2"/>
        <v>0.91970802919708028</v>
      </c>
      <c r="N36" s="39"/>
      <c r="O36" s="41">
        <v>54</v>
      </c>
      <c r="P36" s="11">
        <v>50</v>
      </c>
      <c r="Q36" s="17">
        <f t="shared" si="3"/>
        <v>0.92592592592592593</v>
      </c>
      <c r="R36" s="39"/>
      <c r="S36" s="41">
        <v>16</v>
      </c>
      <c r="T36" s="11">
        <v>15</v>
      </c>
      <c r="U36" s="20">
        <f t="shared" si="4"/>
        <v>0.9375</v>
      </c>
      <c r="W36" s="63"/>
      <c r="X36" s="68"/>
    </row>
    <row r="37" spans="2:24" ht="18.75" customHeight="1" x14ac:dyDescent="0.25">
      <c r="B37" s="8" t="s">
        <v>11</v>
      </c>
      <c r="C37" s="10">
        <v>126</v>
      </c>
      <c r="D37" s="22">
        <v>115</v>
      </c>
      <c r="E37" s="17">
        <f t="shared" si="0"/>
        <v>0.91269841269841268</v>
      </c>
      <c r="F37" s="39"/>
      <c r="G37" s="10">
        <v>22</v>
      </c>
      <c r="H37" s="22">
        <v>14</v>
      </c>
      <c r="I37" s="17">
        <f t="shared" si="1"/>
        <v>0.63636363636363635</v>
      </c>
      <c r="J37" s="39"/>
      <c r="K37" s="41">
        <v>258</v>
      </c>
      <c r="L37" s="11">
        <v>219</v>
      </c>
      <c r="M37" s="20">
        <f t="shared" si="2"/>
        <v>0.84883720930232553</v>
      </c>
      <c r="N37" s="39"/>
      <c r="O37" s="41">
        <v>51</v>
      </c>
      <c r="P37" s="11">
        <v>51</v>
      </c>
      <c r="Q37" s="17">
        <f t="shared" si="3"/>
        <v>1</v>
      </c>
      <c r="R37" s="39"/>
      <c r="S37" s="41">
        <v>15</v>
      </c>
      <c r="T37" s="11">
        <v>15</v>
      </c>
      <c r="U37" s="20">
        <f t="shared" si="4"/>
        <v>1</v>
      </c>
      <c r="W37" s="63"/>
      <c r="X37" s="68"/>
    </row>
    <row r="38" spans="2:24" ht="18.75" customHeight="1" x14ac:dyDescent="0.25">
      <c r="B38" s="14" t="s">
        <v>13</v>
      </c>
      <c r="C38" s="64">
        <f>SUM(C28:C37)</f>
        <v>1406</v>
      </c>
      <c r="D38" s="52">
        <f>SUM(D28:D37)</f>
        <v>1266</v>
      </c>
      <c r="E38" s="53">
        <f t="shared" si="0"/>
        <v>0.90042674253200572</v>
      </c>
      <c r="F38" s="54"/>
      <c r="G38" s="51">
        <f>SUM(G28:G37)</f>
        <v>106</v>
      </c>
      <c r="H38" s="52">
        <f>SUM(H28:H37)</f>
        <v>54</v>
      </c>
      <c r="I38" s="53">
        <f t="shared" si="1"/>
        <v>0.50943396226415094</v>
      </c>
      <c r="J38" s="54"/>
      <c r="K38" s="69">
        <f>SUM(K28:K37)</f>
        <v>2888</v>
      </c>
      <c r="L38" s="57">
        <f>SUM(L28:L37)</f>
        <v>2545</v>
      </c>
      <c r="M38" s="53">
        <f>L38/K38</f>
        <v>0.88123268698060941</v>
      </c>
      <c r="N38" s="54"/>
      <c r="O38" s="59">
        <f>SUM(O28:O37)</f>
        <v>574</v>
      </c>
      <c r="P38" s="57">
        <f>SUM(P28:P37)</f>
        <v>531</v>
      </c>
      <c r="Q38" s="53">
        <f t="shared" si="3"/>
        <v>0.92508710801393723</v>
      </c>
      <c r="R38" s="54"/>
      <c r="S38" s="59">
        <f>SUM(S28:S37)</f>
        <v>168</v>
      </c>
      <c r="T38" s="57">
        <f>SUM(T28:T37)</f>
        <v>161</v>
      </c>
      <c r="U38" s="58">
        <f t="shared" si="4"/>
        <v>0.95833333333333337</v>
      </c>
    </row>
    <row r="39" spans="2:24" ht="30" customHeight="1" x14ac:dyDescent="0.25">
      <c r="B39" s="114" t="s">
        <v>151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</row>
  </sheetData>
  <mergeCells count="33">
    <mergeCell ref="B39:U39"/>
    <mergeCell ref="G26:G27"/>
    <mergeCell ref="H26:I26"/>
    <mergeCell ref="C25:I25"/>
    <mergeCell ref="O26:O27"/>
    <mergeCell ref="S26:S27"/>
    <mergeCell ref="K25:U25"/>
    <mergeCell ref="B26:B27"/>
    <mergeCell ref="C26:C27"/>
    <mergeCell ref="D26:E26"/>
    <mergeCell ref="K26:K27"/>
    <mergeCell ref="B19:U19"/>
    <mergeCell ref="B22:U22"/>
    <mergeCell ref="B23:U23"/>
    <mergeCell ref="T26:U26"/>
    <mergeCell ref="B24:U24"/>
    <mergeCell ref="L26:M26"/>
    <mergeCell ref="P26:Q26"/>
    <mergeCell ref="B2:U2"/>
    <mergeCell ref="B4:U4"/>
    <mergeCell ref="K5:U5"/>
    <mergeCell ref="B6:B7"/>
    <mergeCell ref="C6:C7"/>
    <mergeCell ref="D6:E6"/>
    <mergeCell ref="K6:K7"/>
    <mergeCell ref="L6:M6"/>
    <mergeCell ref="C5:I5"/>
    <mergeCell ref="P6:Q6"/>
    <mergeCell ref="T6:U6"/>
    <mergeCell ref="G6:G7"/>
    <mergeCell ref="H6:I6"/>
    <mergeCell ref="O6:O7"/>
    <mergeCell ref="S6:S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43F5-B32D-4AB0-B23B-6218AE6A2B33}">
  <dimension ref="B2:AE39"/>
  <sheetViews>
    <sheetView zoomScaleNormal="100" workbookViewId="0"/>
  </sheetViews>
  <sheetFormatPr defaultColWidth="9.140625" defaultRowHeight="15" x14ac:dyDescent="0.25"/>
  <cols>
    <col min="1" max="1" width="9.140625" style="7"/>
    <col min="2" max="2" width="14.28515625" style="7" customWidth="1"/>
    <col min="3" max="3" width="11.42578125" style="7" customWidth="1"/>
    <col min="4" max="5" width="10" style="7" customWidth="1"/>
    <col min="6" max="6" width="1.42578125" style="7" customWidth="1"/>
    <col min="7" max="19" width="10" style="7" customWidth="1"/>
    <col min="20" max="16384" width="9.140625" style="7"/>
  </cols>
  <sheetData>
    <row r="2" spans="2:23" x14ac:dyDescent="0.25">
      <c r="B2" s="102" t="s">
        <v>16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</row>
    <row r="4" spans="2:23" ht="33.75" customHeight="1" x14ac:dyDescent="0.25">
      <c r="B4" s="119" t="s">
        <v>139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</row>
    <row r="5" spans="2:23" ht="15" customHeight="1" x14ac:dyDescent="0.25">
      <c r="B5" s="9"/>
      <c r="C5" s="105" t="s">
        <v>87</v>
      </c>
      <c r="D5" s="105"/>
      <c r="E5" s="105"/>
      <c r="F5" s="36"/>
      <c r="G5" s="105" t="s">
        <v>94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</row>
    <row r="6" spans="2:23" ht="48.75" customHeight="1" x14ac:dyDescent="0.25">
      <c r="B6" s="106" t="s">
        <v>0</v>
      </c>
      <c r="C6" s="108" t="s">
        <v>78</v>
      </c>
      <c r="D6" s="110" t="s">
        <v>92</v>
      </c>
      <c r="E6" s="111"/>
      <c r="F6" s="37"/>
      <c r="G6" s="108" t="s">
        <v>95</v>
      </c>
      <c r="H6" s="110" t="s">
        <v>96</v>
      </c>
      <c r="I6" s="111"/>
      <c r="J6" s="112" t="s">
        <v>97</v>
      </c>
      <c r="K6" s="111"/>
      <c r="L6" s="112" t="s">
        <v>98</v>
      </c>
      <c r="M6" s="111"/>
      <c r="N6" s="112" t="s">
        <v>99</v>
      </c>
      <c r="O6" s="111"/>
      <c r="P6" s="112" t="s">
        <v>100</v>
      </c>
      <c r="Q6" s="111"/>
      <c r="R6" s="112" t="s">
        <v>126</v>
      </c>
      <c r="S6" s="111"/>
      <c r="T6" s="112" t="s">
        <v>127</v>
      </c>
      <c r="U6" s="111"/>
      <c r="V6" s="112" t="s">
        <v>49</v>
      </c>
      <c r="W6" s="113"/>
    </row>
    <row r="7" spans="2:23" x14ac:dyDescent="0.25">
      <c r="B7" s="107"/>
      <c r="C7" s="109"/>
      <c r="D7" s="27" t="s">
        <v>14</v>
      </c>
      <c r="E7" s="25" t="s">
        <v>15</v>
      </c>
      <c r="F7" s="38"/>
      <c r="G7" s="109"/>
      <c r="H7" s="27" t="s">
        <v>14</v>
      </c>
      <c r="I7" s="25" t="s">
        <v>15</v>
      </c>
      <c r="J7" s="25" t="s">
        <v>14</v>
      </c>
      <c r="K7" s="25" t="s">
        <v>15</v>
      </c>
      <c r="L7" s="25" t="s">
        <v>14</v>
      </c>
      <c r="M7" s="25" t="s">
        <v>15</v>
      </c>
      <c r="N7" s="25" t="s">
        <v>14</v>
      </c>
      <c r="O7" s="25" t="s">
        <v>15</v>
      </c>
      <c r="P7" s="25" t="s">
        <v>14</v>
      </c>
      <c r="Q7" s="25" t="s">
        <v>15</v>
      </c>
      <c r="R7" s="25" t="s">
        <v>14</v>
      </c>
      <c r="S7" s="25" t="s">
        <v>15</v>
      </c>
      <c r="T7" s="25" t="s">
        <v>14</v>
      </c>
      <c r="U7" s="25" t="s">
        <v>15</v>
      </c>
      <c r="V7" s="25" t="s">
        <v>14</v>
      </c>
      <c r="W7" s="25" t="s">
        <v>15</v>
      </c>
    </row>
    <row r="8" spans="2:23" ht="18.75" customHeight="1" x14ac:dyDescent="0.25">
      <c r="B8" s="8"/>
      <c r="C8" s="10"/>
      <c r="D8" s="22"/>
      <c r="E8" s="11"/>
      <c r="F8" s="39"/>
      <c r="G8" s="41"/>
      <c r="H8" s="18"/>
      <c r="I8" s="12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0"/>
    </row>
    <row r="9" spans="2:23" ht="18.75" customHeight="1" x14ac:dyDescent="0.25">
      <c r="B9" s="8"/>
      <c r="C9" s="10"/>
      <c r="D9" s="22"/>
      <c r="E9" s="11"/>
      <c r="F9" s="39"/>
      <c r="G9" s="41"/>
      <c r="H9" s="18"/>
      <c r="I9" s="13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0"/>
    </row>
    <row r="10" spans="2:23" ht="18.75" customHeight="1" x14ac:dyDescent="0.25">
      <c r="B10" s="8"/>
      <c r="C10" s="10"/>
      <c r="D10" s="22"/>
      <c r="E10" s="11"/>
      <c r="F10" s="39"/>
      <c r="G10" s="41"/>
      <c r="H10" s="18"/>
      <c r="I10" s="13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0"/>
    </row>
    <row r="11" spans="2:23" ht="18.75" customHeight="1" x14ac:dyDescent="0.25">
      <c r="B11" s="8"/>
      <c r="C11" s="10"/>
      <c r="D11" s="22"/>
      <c r="E11" s="11"/>
      <c r="F11" s="39"/>
      <c r="G11" s="41"/>
      <c r="H11" s="18"/>
      <c r="I11" s="13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0"/>
    </row>
    <row r="12" spans="2:23" ht="18.75" customHeight="1" x14ac:dyDescent="0.25">
      <c r="B12" s="8"/>
      <c r="C12" s="10"/>
      <c r="D12" s="22"/>
      <c r="E12" s="11"/>
      <c r="F12" s="39"/>
      <c r="G12" s="41"/>
      <c r="H12" s="18"/>
      <c r="I12" s="13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0"/>
    </row>
    <row r="13" spans="2:23" ht="18.75" customHeight="1" x14ac:dyDescent="0.25">
      <c r="B13" s="8"/>
      <c r="C13" s="10"/>
      <c r="D13" s="22"/>
      <c r="E13" s="11"/>
      <c r="F13" s="39"/>
      <c r="G13" s="41"/>
      <c r="H13" s="18"/>
      <c r="I13" s="13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0"/>
    </row>
    <row r="14" spans="2:23" ht="18.75" customHeight="1" x14ac:dyDescent="0.25">
      <c r="B14" s="8"/>
      <c r="C14" s="10"/>
      <c r="D14" s="22"/>
      <c r="E14" s="11"/>
      <c r="F14" s="39"/>
      <c r="G14" s="41"/>
      <c r="H14" s="18"/>
      <c r="I14" s="1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0"/>
    </row>
    <row r="15" spans="2:23" ht="18.75" customHeight="1" x14ac:dyDescent="0.25">
      <c r="B15" s="8"/>
      <c r="C15" s="10"/>
      <c r="D15" s="22"/>
      <c r="E15" s="11"/>
      <c r="F15" s="39"/>
      <c r="G15" s="41"/>
      <c r="H15" s="18"/>
      <c r="I15" s="13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0"/>
    </row>
    <row r="16" spans="2:23" ht="18.75" customHeight="1" x14ac:dyDescent="0.25">
      <c r="B16" s="8"/>
      <c r="C16" s="10"/>
      <c r="D16" s="22"/>
      <c r="E16" s="11"/>
      <c r="F16" s="39"/>
      <c r="G16" s="41"/>
      <c r="H16" s="18"/>
      <c r="I16" s="13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0"/>
    </row>
    <row r="17" spans="2:31" ht="18.75" customHeight="1" x14ac:dyDescent="0.25">
      <c r="B17" s="8"/>
      <c r="C17" s="10"/>
      <c r="D17" s="22"/>
      <c r="E17" s="11"/>
      <c r="F17" s="39"/>
      <c r="G17" s="41"/>
      <c r="H17" s="18"/>
      <c r="I17" s="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0"/>
    </row>
    <row r="18" spans="2:31" ht="18.75" customHeight="1" x14ac:dyDescent="0.25">
      <c r="B18" s="14" t="s">
        <v>13</v>
      </c>
      <c r="C18" s="24"/>
      <c r="D18" s="21"/>
      <c r="E18" s="15"/>
      <c r="F18" s="40"/>
      <c r="G18" s="42"/>
      <c r="H18" s="19"/>
      <c r="I18" s="16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24"/>
    </row>
    <row r="19" spans="2:31" ht="30" customHeight="1" x14ac:dyDescent="0.25">
      <c r="B19" s="114" t="s">
        <v>151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</row>
    <row r="20" spans="2:31" ht="18.75" customHeight="1" x14ac:dyDescent="0.25"/>
    <row r="21" spans="2:31" ht="18.75" customHeight="1" x14ac:dyDescent="0.25"/>
    <row r="22" spans="2:31" x14ac:dyDescent="0.25">
      <c r="B22" s="102" t="s">
        <v>12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</row>
    <row r="23" spans="2:31" x14ac:dyDescent="0.25"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</row>
    <row r="24" spans="2:31" ht="33.75" customHeight="1" x14ac:dyDescent="0.25">
      <c r="B24" s="119" t="s">
        <v>140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</row>
    <row r="25" spans="2:31" ht="15" customHeight="1" x14ac:dyDescent="0.25">
      <c r="B25" s="9"/>
      <c r="C25" s="105" t="s">
        <v>87</v>
      </c>
      <c r="D25" s="105"/>
      <c r="E25" s="105"/>
      <c r="F25" s="36"/>
      <c r="G25" s="105" t="s">
        <v>94</v>
      </c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</row>
    <row r="26" spans="2:31" ht="48.75" customHeight="1" x14ac:dyDescent="0.25">
      <c r="B26" s="106" t="s">
        <v>0</v>
      </c>
      <c r="C26" s="108" t="s">
        <v>78</v>
      </c>
      <c r="D26" s="110" t="s">
        <v>92</v>
      </c>
      <c r="E26" s="111"/>
      <c r="F26" s="37"/>
      <c r="G26" s="108" t="s">
        <v>95</v>
      </c>
      <c r="H26" s="110" t="s">
        <v>96</v>
      </c>
      <c r="I26" s="111"/>
      <c r="J26" s="112" t="s">
        <v>97</v>
      </c>
      <c r="K26" s="111"/>
      <c r="L26" s="112" t="s">
        <v>98</v>
      </c>
      <c r="M26" s="111"/>
      <c r="N26" s="112" t="s">
        <v>99</v>
      </c>
      <c r="O26" s="111"/>
      <c r="P26" s="112" t="s">
        <v>100</v>
      </c>
      <c r="Q26" s="111"/>
      <c r="R26" s="112" t="s">
        <v>126</v>
      </c>
      <c r="S26" s="111"/>
      <c r="T26" s="112" t="s">
        <v>127</v>
      </c>
      <c r="U26" s="111"/>
      <c r="V26" s="112" t="s">
        <v>49</v>
      </c>
      <c r="W26" s="113"/>
    </row>
    <row r="27" spans="2:31" x14ac:dyDescent="0.25">
      <c r="B27" s="107"/>
      <c r="C27" s="109"/>
      <c r="D27" s="27" t="s">
        <v>14</v>
      </c>
      <c r="E27" s="25" t="s">
        <v>15</v>
      </c>
      <c r="F27" s="38"/>
      <c r="G27" s="109"/>
      <c r="H27" s="27" t="s">
        <v>14</v>
      </c>
      <c r="I27" s="25" t="s">
        <v>15</v>
      </c>
      <c r="J27" s="25" t="s">
        <v>14</v>
      </c>
      <c r="K27" s="25" t="s">
        <v>15</v>
      </c>
      <c r="L27" s="25" t="s">
        <v>14</v>
      </c>
      <c r="M27" s="25" t="s">
        <v>15</v>
      </c>
      <c r="N27" s="25" t="s">
        <v>14</v>
      </c>
      <c r="O27" s="25" t="s">
        <v>15</v>
      </c>
      <c r="P27" s="27" t="s">
        <v>14</v>
      </c>
      <c r="Q27" s="25" t="s">
        <v>15</v>
      </c>
      <c r="R27" s="25" t="s">
        <v>14</v>
      </c>
      <c r="S27" s="25" t="s">
        <v>15</v>
      </c>
      <c r="T27" s="25" t="s">
        <v>14</v>
      </c>
      <c r="U27" s="25" t="s">
        <v>15</v>
      </c>
      <c r="V27" s="25" t="s">
        <v>14</v>
      </c>
      <c r="W27" s="25" t="s">
        <v>15</v>
      </c>
      <c r="Y27" s="70"/>
      <c r="Z27" s="71"/>
      <c r="AA27" s="71"/>
      <c r="AB27" s="71"/>
      <c r="AC27" s="71"/>
      <c r="AD27" s="71"/>
      <c r="AE27" s="71"/>
    </row>
    <row r="28" spans="2:31" ht="18.75" customHeight="1" x14ac:dyDescent="0.25">
      <c r="B28" s="8" t="s">
        <v>2</v>
      </c>
      <c r="C28" s="73">
        <v>258</v>
      </c>
      <c r="D28" s="74">
        <v>227</v>
      </c>
      <c r="E28" s="17">
        <f t="shared" ref="E28:E38" si="0">D28/C28</f>
        <v>0.87984496124031009</v>
      </c>
      <c r="F28" s="39"/>
      <c r="G28" s="49">
        <v>31</v>
      </c>
      <c r="H28" s="22">
        <v>10</v>
      </c>
      <c r="I28" s="23">
        <f>H28/$G28</f>
        <v>0.32258064516129031</v>
      </c>
      <c r="J28" s="11">
        <v>3</v>
      </c>
      <c r="K28" s="23">
        <f>J28/$G28</f>
        <v>9.6774193548387094E-2</v>
      </c>
      <c r="L28" s="11">
        <v>6</v>
      </c>
      <c r="M28" s="17">
        <f>L28/$G28</f>
        <v>0.19354838709677419</v>
      </c>
      <c r="N28" s="11">
        <v>9</v>
      </c>
      <c r="O28" s="17">
        <f>N28/$G28</f>
        <v>0.29032258064516131</v>
      </c>
      <c r="P28" s="11">
        <v>2</v>
      </c>
      <c r="Q28" s="17">
        <f>P28/$G28</f>
        <v>6.4516129032258063E-2</v>
      </c>
      <c r="R28" s="17" t="s">
        <v>93</v>
      </c>
      <c r="S28" s="17" t="s">
        <v>93</v>
      </c>
      <c r="T28" s="17" t="s">
        <v>93</v>
      </c>
      <c r="U28" s="17" t="s">
        <v>93</v>
      </c>
      <c r="V28" s="11">
        <v>1</v>
      </c>
      <c r="W28" s="23">
        <f>V28/$G28</f>
        <v>3.2258064516129031E-2</v>
      </c>
    </row>
    <row r="29" spans="2:31" ht="18.75" customHeight="1" x14ac:dyDescent="0.25">
      <c r="B29" s="8" t="s">
        <v>3</v>
      </c>
      <c r="C29" s="73">
        <v>292</v>
      </c>
      <c r="D29" s="74">
        <v>239</v>
      </c>
      <c r="E29" s="17">
        <f t="shared" si="0"/>
        <v>0.81849315068493156</v>
      </c>
      <c r="F29" s="39"/>
      <c r="G29" s="49">
        <v>53</v>
      </c>
      <c r="H29" s="11">
        <v>23</v>
      </c>
      <c r="I29" s="17">
        <f t="shared" ref="I29:I34" si="1">H29/$G29</f>
        <v>0.43396226415094341</v>
      </c>
      <c r="J29" s="11">
        <v>2</v>
      </c>
      <c r="K29" s="17">
        <f t="shared" ref="K29:M37" si="2">J29/$G29</f>
        <v>3.7735849056603772E-2</v>
      </c>
      <c r="L29" s="11">
        <v>6</v>
      </c>
      <c r="M29" s="17">
        <f t="shared" si="2"/>
        <v>0.11320754716981132</v>
      </c>
      <c r="N29" s="11">
        <v>15</v>
      </c>
      <c r="O29" s="17">
        <f t="shared" ref="O29" si="3">N29/$G29</f>
        <v>0.28301886792452829</v>
      </c>
      <c r="P29" s="11">
        <v>4</v>
      </c>
      <c r="Q29" s="17">
        <f t="shared" ref="Q29" si="4">P29/$G29</f>
        <v>7.5471698113207544E-2</v>
      </c>
      <c r="R29" s="17" t="s">
        <v>93</v>
      </c>
      <c r="S29" s="17" t="s">
        <v>93</v>
      </c>
      <c r="T29" s="17" t="s">
        <v>93</v>
      </c>
      <c r="U29" s="17" t="s">
        <v>93</v>
      </c>
      <c r="V29" s="11">
        <v>3</v>
      </c>
      <c r="W29" s="20">
        <f t="shared" ref="W29" si="5">V29/$G29</f>
        <v>5.6603773584905662E-2</v>
      </c>
    </row>
    <row r="30" spans="2:31" ht="18.75" customHeight="1" x14ac:dyDescent="0.25">
      <c r="B30" s="8" t="s">
        <v>4</v>
      </c>
      <c r="C30" s="73">
        <v>262</v>
      </c>
      <c r="D30" s="74">
        <v>225</v>
      </c>
      <c r="E30" s="17">
        <f t="shared" si="0"/>
        <v>0.85877862595419852</v>
      </c>
      <c r="F30" s="39"/>
      <c r="G30" s="49">
        <v>37</v>
      </c>
      <c r="H30" s="11">
        <v>19</v>
      </c>
      <c r="I30" s="17">
        <f t="shared" si="1"/>
        <v>0.51351351351351349</v>
      </c>
      <c r="J30" s="11">
        <v>4</v>
      </c>
      <c r="K30" s="17">
        <f t="shared" si="2"/>
        <v>0.10810810810810811</v>
      </c>
      <c r="L30" s="11">
        <v>9</v>
      </c>
      <c r="M30" s="17">
        <f t="shared" si="2"/>
        <v>0.24324324324324326</v>
      </c>
      <c r="N30" s="11" t="s">
        <v>93</v>
      </c>
      <c r="O30" s="17" t="s">
        <v>93</v>
      </c>
      <c r="P30" s="11">
        <v>3</v>
      </c>
      <c r="Q30" s="17">
        <f t="shared" ref="Q30" si="6">P30/$G30</f>
        <v>8.1081081081081086E-2</v>
      </c>
      <c r="R30" s="17" t="s">
        <v>93</v>
      </c>
      <c r="S30" s="17" t="s">
        <v>93</v>
      </c>
      <c r="T30" s="17" t="s">
        <v>93</v>
      </c>
      <c r="U30" s="17" t="s">
        <v>93</v>
      </c>
      <c r="V30" s="11">
        <v>2</v>
      </c>
      <c r="W30" s="20">
        <f t="shared" ref="W30" si="7">V30/$G30</f>
        <v>5.4054054054054057E-2</v>
      </c>
    </row>
    <row r="31" spans="2:31" ht="18.75" customHeight="1" x14ac:dyDescent="0.25">
      <c r="B31" s="8" t="s">
        <v>5</v>
      </c>
      <c r="C31" s="73">
        <v>246</v>
      </c>
      <c r="D31" s="74">
        <v>226</v>
      </c>
      <c r="E31" s="17">
        <f>D31/C31</f>
        <v>0.91869918699186992</v>
      </c>
      <c r="F31" s="39"/>
      <c r="G31" s="49">
        <v>20</v>
      </c>
      <c r="H31" s="11" t="s">
        <v>93</v>
      </c>
      <c r="I31" s="17" t="s">
        <v>93</v>
      </c>
      <c r="J31" s="11">
        <v>6</v>
      </c>
      <c r="K31" s="17">
        <f t="shared" si="2"/>
        <v>0.3</v>
      </c>
      <c r="L31" s="11">
        <v>7</v>
      </c>
      <c r="M31" s="17">
        <f t="shared" si="2"/>
        <v>0.35</v>
      </c>
      <c r="N31" s="11" t="s">
        <v>93</v>
      </c>
      <c r="O31" s="17" t="s">
        <v>93</v>
      </c>
      <c r="P31" s="11">
        <v>4</v>
      </c>
      <c r="Q31" s="17">
        <f t="shared" ref="Q31" si="8">P31/$G31</f>
        <v>0.2</v>
      </c>
      <c r="R31" s="17" t="s">
        <v>93</v>
      </c>
      <c r="S31" s="17" t="s">
        <v>93</v>
      </c>
      <c r="T31" s="17" t="s">
        <v>93</v>
      </c>
      <c r="U31" s="17" t="s">
        <v>93</v>
      </c>
      <c r="V31" s="11">
        <v>3</v>
      </c>
      <c r="W31" s="20">
        <f t="shared" ref="W31" si="9">V31/$G31</f>
        <v>0.15</v>
      </c>
    </row>
    <row r="32" spans="2:31" ht="18.75" customHeight="1" x14ac:dyDescent="0.25">
      <c r="B32" s="8" t="s">
        <v>6</v>
      </c>
      <c r="C32" s="73">
        <v>318</v>
      </c>
      <c r="D32" s="74">
        <v>289</v>
      </c>
      <c r="E32" s="17">
        <f t="shared" si="0"/>
        <v>0.9088050314465409</v>
      </c>
      <c r="F32" s="39"/>
      <c r="G32" s="49">
        <v>29</v>
      </c>
      <c r="H32" s="11" t="s">
        <v>93</v>
      </c>
      <c r="I32" s="17" t="s">
        <v>93</v>
      </c>
      <c r="J32" s="11">
        <v>6</v>
      </c>
      <c r="K32" s="17">
        <f t="shared" si="2"/>
        <v>0.20689655172413793</v>
      </c>
      <c r="L32" s="11">
        <v>14</v>
      </c>
      <c r="M32" s="17">
        <f t="shared" si="2"/>
        <v>0.48275862068965519</v>
      </c>
      <c r="N32" s="11" t="s">
        <v>93</v>
      </c>
      <c r="O32" s="17" t="s">
        <v>93</v>
      </c>
      <c r="P32" s="11">
        <v>8</v>
      </c>
      <c r="Q32" s="17">
        <f t="shared" ref="Q32" si="10">P32/$G32</f>
        <v>0.27586206896551724</v>
      </c>
      <c r="R32" s="17" t="s">
        <v>93</v>
      </c>
      <c r="S32" s="17" t="s">
        <v>93</v>
      </c>
      <c r="T32" s="17" t="s">
        <v>93</v>
      </c>
      <c r="U32" s="17" t="s">
        <v>93</v>
      </c>
      <c r="V32" s="11">
        <v>1</v>
      </c>
      <c r="W32" s="20">
        <f t="shared" ref="W32" si="11">V32/$G32</f>
        <v>3.4482758620689655E-2</v>
      </c>
    </row>
    <row r="33" spans="2:23" ht="18.75" customHeight="1" x14ac:dyDescent="0.25">
      <c r="B33" s="8" t="s">
        <v>7</v>
      </c>
      <c r="C33" s="73">
        <v>310</v>
      </c>
      <c r="D33" s="74">
        <v>276</v>
      </c>
      <c r="E33" s="17">
        <f t="shared" si="0"/>
        <v>0.89032258064516134</v>
      </c>
      <c r="F33" s="39"/>
      <c r="G33" s="49">
        <v>34</v>
      </c>
      <c r="H33" s="11" t="s">
        <v>93</v>
      </c>
      <c r="I33" s="17" t="s">
        <v>93</v>
      </c>
      <c r="J33" s="11">
        <v>5</v>
      </c>
      <c r="K33" s="17">
        <f t="shared" si="2"/>
        <v>0.14705882352941177</v>
      </c>
      <c r="L33" s="11">
        <v>10</v>
      </c>
      <c r="M33" s="17">
        <f t="shared" si="2"/>
        <v>0.29411764705882354</v>
      </c>
      <c r="N33" s="11">
        <v>15</v>
      </c>
      <c r="O33" s="17">
        <f t="shared" ref="O33" si="12">N33/$G33</f>
        <v>0.44117647058823528</v>
      </c>
      <c r="P33" s="11">
        <v>3</v>
      </c>
      <c r="Q33" s="17">
        <f t="shared" ref="Q33" si="13">P33/$G33</f>
        <v>8.8235294117647065E-2</v>
      </c>
      <c r="R33" s="17" t="s">
        <v>93</v>
      </c>
      <c r="S33" s="17" t="s">
        <v>93</v>
      </c>
      <c r="T33" s="17" t="s">
        <v>93</v>
      </c>
      <c r="U33" s="17" t="s">
        <v>93</v>
      </c>
      <c r="V33" s="11">
        <v>1</v>
      </c>
      <c r="W33" s="20">
        <f t="shared" ref="W33" si="14">V33/$G33</f>
        <v>2.9411764705882353E-2</v>
      </c>
    </row>
    <row r="34" spans="2:23" ht="18.75" customHeight="1" x14ac:dyDescent="0.25">
      <c r="B34" s="8" t="s">
        <v>8</v>
      </c>
      <c r="C34" s="73">
        <v>340</v>
      </c>
      <c r="D34" s="74">
        <v>282</v>
      </c>
      <c r="E34" s="17">
        <f t="shared" si="0"/>
        <v>0.8294117647058824</v>
      </c>
      <c r="F34" s="39"/>
      <c r="G34" s="49">
        <v>58</v>
      </c>
      <c r="H34" s="22">
        <v>33</v>
      </c>
      <c r="I34" s="20">
        <f t="shared" si="1"/>
        <v>0.56896551724137934</v>
      </c>
      <c r="J34" s="11">
        <v>5</v>
      </c>
      <c r="K34" s="17">
        <f t="shared" si="2"/>
        <v>8.6206896551724144E-2</v>
      </c>
      <c r="L34" s="11">
        <v>8</v>
      </c>
      <c r="M34" s="17">
        <f t="shared" si="2"/>
        <v>0.13793103448275862</v>
      </c>
      <c r="N34" s="11">
        <v>9</v>
      </c>
      <c r="O34" s="17">
        <f t="shared" ref="O34" si="15">N34/$G34</f>
        <v>0.15517241379310345</v>
      </c>
      <c r="P34" s="11">
        <v>1</v>
      </c>
      <c r="Q34" s="17">
        <f t="shared" ref="Q34" si="16">P34/$G34</f>
        <v>1.7241379310344827E-2</v>
      </c>
      <c r="R34" s="17" t="s">
        <v>93</v>
      </c>
      <c r="S34" s="17" t="s">
        <v>93</v>
      </c>
      <c r="T34" s="17" t="s">
        <v>93</v>
      </c>
      <c r="U34" s="17" t="s">
        <v>93</v>
      </c>
      <c r="V34" s="11">
        <v>2</v>
      </c>
      <c r="W34" s="20">
        <f t="shared" ref="W34" si="17">V34/$G34</f>
        <v>3.4482758620689655E-2</v>
      </c>
    </row>
    <row r="35" spans="2:23" ht="18.75" customHeight="1" x14ac:dyDescent="0.25">
      <c r="B35" s="8" t="s">
        <v>9</v>
      </c>
      <c r="C35" s="73">
        <v>330</v>
      </c>
      <c r="D35" s="74">
        <v>310</v>
      </c>
      <c r="E35" s="17">
        <f t="shared" si="0"/>
        <v>0.93939393939393945</v>
      </c>
      <c r="F35" s="39"/>
      <c r="G35" s="49">
        <v>20</v>
      </c>
      <c r="H35" s="18" t="s">
        <v>93</v>
      </c>
      <c r="I35" s="20" t="s">
        <v>93</v>
      </c>
      <c r="J35" s="11">
        <v>4</v>
      </c>
      <c r="K35" s="17">
        <f t="shared" si="2"/>
        <v>0.2</v>
      </c>
      <c r="L35" s="11">
        <v>10</v>
      </c>
      <c r="M35" s="17">
        <f t="shared" si="2"/>
        <v>0.5</v>
      </c>
      <c r="N35" s="11" t="s">
        <v>93</v>
      </c>
      <c r="O35" s="17" t="s">
        <v>93</v>
      </c>
      <c r="P35" s="11">
        <v>5</v>
      </c>
      <c r="Q35" s="17">
        <f t="shared" ref="Q35" si="18">P35/$G35</f>
        <v>0.25</v>
      </c>
      <c r="R35" s="17" t="s">
        <v>93</v>
      </c>
      <c r="S35" s="17" t="s">
        <v>93</v>
      </c>
      <c r="T35" s="17" t="s">
        <v>93</v>
      </c>
      <c r="U35" s="17" t="s">
        <v>93</v>
      </c>
      <c r="V35" s="11">
        <v>1</v>
      </c>
      <c r="W35" s="20">
        <f t="shared" ref="W35" si="19">V35/$G35</f>
        <v>0.05</v>
      </c>
    </row>
    <row r="36" spans="2:23" ht="18.75" customHeight="1" x14ac:dyDescent="0.25">
      <c r="B36" s="8" t="s">
        <v>10</v>
      </c>
      <c r="C36" s="73">
        <v>274</v>
      </c>
      <c r="D36" s="74">
        <v>252</v>
      </c>
      <c r="E36" s="17">
        <f t="shared" si="0"/>
        <v>0.91970802919708028</v>
      </c>
      <c r="F36" s="39"/>
      <c r="G36" s="49">
        <v>22</v>
      </c>
      <c r="H36" s="18" t="s">
        <v>93</v>
      </c>
      <c r="I36" s="20" t="s">
        <v>93</v>
      </c>
      <c r="J36" s="11">
        <v>3</v>
      </c>
      <c r="K36" s="17">
        <f t="shared" si="2"/>
        <v>0.13636363636363635</v>
      </c>
      <c r="L36" s="11">
        <v>8</v>
      </c>
      <c r="M36" s="17">
        <f t="shared" si="2"/>
        <v>0.36363636363636365</v>
      </c>
      <c r="N36" s="11">
        <v>4</v>
      </c>
      <c r="O36" s="17">
        <f t="shared" ref="O36" si="20">N36/$G36</f>
        <v>0.18181818181818182</v>
      </c>
      <c r="P36" s="11">
        <v>7</v>
      </c>
      <c r="Q36" s="17">
        <f t="shared" ref="Q36" si="21">P36/$G36</f>
        <v>0.31818181818181818</v>
      </c>
      <c r="R36" s="17" t="s">
        <v>93</v>
      </c>
      <c r="S36" s="17" t="s">
        <v>93</v>
      </c>
      <c r="T36" s="17" t="s">
        <v>93</v>
      </c>
      <c r="U36" s="17" t="s">
        <v>93</v>
      </c>
      <c r="V36" s="11" t="s">
        <v>93</v>
      </c>
      <c r="W36" s="20" t="s">
        <v>93</v>
      </c>
    </row>
    <row r="37" spans="2:23" ht="18.75" customHeight="1" x14ac:dyDescent="0.25">
      <c r="B37" s="8" t="s">
        <v>11</v>
      </c>
      <c r="C37" s="73">
        <v>258</v>
      </c>
      <c r="D37" s="74">
        <v>219</v>
      </c>
      <c r="E37" s="17">
        <f t="shared" si="0"/>
        <v>0.84883720930232553</v>
      </c>
      <c r="F37" s="39"/>
      <c r="G37" s="49">
        <v>39</v>
      </c>
      <c r="H37" s="18" t="s">
        <v>93</v>
      </c>
      <c r="I37" s="20" t="s">
        <v>93</v>
      </c>
      <c r="J37" s="11">
        <v>7</v>
      </c>
      <c r="K37" s="17">
        <f t="shared" si="2"/>
        <v>0.17948717948717949</v>
      </c>
      <c r="L37" s="11">
        <v>7</v>
      </c>
      <c r="M37" s="17">
        <f t="shared" si="2"/>
        <v>0.17948717948717949</v>
      </c>
      <c r="N37" s="11">
        <v>21</v>
      </c>
      <c r="O37" s="17">
        <f t="shared" ref="O37" si="22">N37/$G37</f>
        <v>0.53846153846153844</v>
      </c>
      <c r="P37" s="11">
        <v>4</v>
      </c>
      <c r="Q37" s="17">
        <f t="shared" ref="Q37" si="23">P37/$G37</f>
        <v>0.10256410256410256</v>
      </c>
      <c r="R37" s="17" t="s">
        <v>93</v>
      </c>
      <c r="S37" s="17" t="s">
        <v>93</v>
      </c>
      <c r="T37" s="17" t="s">
        <v>93</v>
      </c>
      <c r="U37" s="17" t="s">
        <v>93</v>
      </c>
      <c r="V37" s="11" t="s">
        <v>93</v>
      </c>
      <c r="W37" s="43" t="s">
        <v>93</v>
      </c>
    </row>
    <row r="38" spans="2:23" ht="18.75" customHeight="1" x14ac:dyDescent="0.25">
      <c r="B38" s="14" t="s">
        <v>13</v>
      </c>
      <c r="C38" s="64">
        <f>SUM(C28:C37)</f>
        <v>2888</v>
      </c>
      <c r="D38" s="72">
        <f>SUM(D28:D37)</f>
        <v>2545</v>
      </c>
      <c r="E38" s="53">
        <f t="shared" si="0"/>
        <v>0.88123268698060941</v>
      </c>
      <c r="F38" s="54"/>
      <c r="G38" s="55">
        <f>SUM(G28:G37)</f>
        <v>343</v>
      </c>
      <c r="H38" s="57">
        <f>SUM(H28:H37)</f>
        <v>85</v>
      </c>
      <c r="I38" s="53">
        <f>H38/$G$38</f>
        <v>0.24781341107871721</v>
      </c>
      <c r="J38" s="57">
        <f>SUM(J28:J37)</f>
        <v>45</v>
      </c>
      <c r="K38" s="53">
        <f>J38/$G$38</f>
        <v>0.13119533527696792</v>
      </c>
      <c r="L38" s="57">
        <f>SUM(L28:L37)</f>
        <v>85</v>
      </c>
      <c r="M38" s="53">
        <f>L38/$G$38</f>
        <v>0.24781341107871721</v>
      </c>
      <c r="N38" s="57">
        <f>SUM(N28:N37)</f>
        <v>73</v>
      </c>
      <c r="O38" s="53">
        <f>N38/$G$38</f>
        <v>0.21282798833819241</v>
      </c>
      <c r="P38" s="57">
        <f>SUM(P28:P37)</f>
        <v>41</v>
      </c>
      <c r="Q38" s="53">
        <f>P38/$G$38</f>
        <v>0.119533527696793</v>
      </c>
      <c r="R38" s="53"/>
      <c r="S38" s="53">
        <f>R38/$G$38</f>
        <v>0</v>
      </c>
      <c r="T38" s="53"/>
      <c r="U38" s="53">
        <f>T38/$G$38</f>
        <v>0</v>
      </c>
      <c r="V38" s="57">
        <f>SUM(V28:V37)</f>
        <v>14</v>
      </c>
      <c r="W38" s="58">
        <f>V38/$G$38</f>
        <v>4.0816326530612242E-2</v>
      </c>
    </row>
    <row r="39" spans="2:23" ht="30" customHeight="1" x14ac:dyDescent="0.25">
      <c r="B39" s="114" t="s">
        <v>151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</row>
  </sheetData>
  <mergeCells count="35">
    <mergeCell ref="J26:K26"/>
    <mergeCell ref="L26:M26"/>
    <mergeCell ref="L6:M6"/>
    <mergeCell ref="B4:W4"/>
    <mergeCell ref="B2:W2"/>
    <mergeCell ref="R6:S6"/>
    <mergeCell ref="T6:U6"/>
    <mergeCell ref="B19:W19"/>
    <mergeCell ref="C5:E5"/>
    <mergeCell ref="B6:B7"/>
    <mergeCell ref="C6:C7"/>
    <mergeCell ref="D6:E6"/>
    <mergeCell ref="G6:G7"/>
    <mergeCell ref="H6:I6"/>
    <mergeCell ref="J6:K6"/>
    <mergeCell ref="N6:O6"/>
    <mergeCell ref="V6:W6"/>
    <mergeCell ref="G5:W5"/>
    <mergeCell ref="P6:Q6"/>
    <mergeCell ref="B22:W22"/>
    <mergeCell ref="B24:W24"/>
    <mergeCell ref="G25:W25"/>
    <mergeCell ref="B39:W39"/>
    <mergeCell ref="R26:S26"/>
    <mergeCell ref="T26:U26"/>
    <mergeCell ref="B23:S23"/>
    <mergeCell ref="N26:O26"/>
    <mergeCell ref="V26:W26"/>
    <mergeCell ref="P26:Q26"/>
    <mergeCell ref="C25:E25"/>
    <mergeCell ref="B26:B27"/>
    <mergeCell ref="C26:C27"/>
    <mergeCell ref="D26:E26"/>
    <mergeCell ref="G26:G27"/>
    <mergeCell ref="H26:I26"/>
  </mergeCells>
  <pageMargins left="0.7" right="0.7" top="0.75" bottom="0.75" header="0.3" footer="0.3"/>
  <ignoredErrors>
    <ignoredError sqref="V38 I38:Q3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C047-9AE2-4328-B0AE-470DE2EA1776}">
  <dimension ref="B2:AC39"/>
  <sheetViews>
    <sheetView zoomScale="80" zoomScaleNormal="80" workbookViewId="0"/>
  </sheetViews>
  <sheetFormatPr defaultColWidth="9.140625" defaultRowHeight="15" x14ac:dyDescent="0.25"/>
  <cols>
    <col min="1" max="1" width="9.140625" style="7"/>
    <col min="2" max="2" width="14.28515625" style="7" customWidth="1"/>
    <col min="3" max="3" width="11.42578125" style="7" customWidth="1"/>
    <col min="4" max="7" width="10" style="7" customWidth="1"/>
    <col min="8" max="8" width="1.42578125" style="7" customWidth="1"/>
    <col min="9" max="9" width="10" style="7" customWidth="1"/>
    <col min="10" max="29" width="9.28515625" style="7" customWidth="1"/>
    <col min="30" max="16384" width="9.140625" style="7"/>
  </cols>
  <sheetData>
    <row r="2" spans="2:29" x14ac:dyDescent="0.25">
      <c r="B2" s="102" t="s">
        <v>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</row>
    <row r="4" spans="2:29" ht="33.75" customHeight="1" x14ac:dyDescent="0.25">
      <c r="B4" s="104" t="s">
        <v>143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</row>
    <row r="5" spans="2:29" ht="15" customHeight="1" x14ac:dyDescent="0.25">
      <c r="B5" s="9"/>
      <c r="C5" s="105" t="s">
        <v>101</v>
      </c>
      <c r="D5" s="105"/>
      <c r="E5" s="105"/>
      <c r="F5" s="105"/>
      <c r="G5" s="105"/>
      <c r="H5" s="36"/>
      <c r="I5" s="105" t="s">
        <v>102</v>
      </c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</row>
    <row r="6" spans="2:29" ht="48.75" customHeight="1" x14ac:dyDescent="0.25">
      <c r="B6" s="106" t="s">
        <v>0</v>
      </c>
      <c r="C6" s="108" t="s">
        <v>1</v>
      </c>
      <c r="D6" s="110" t="s">
        <v>103</v>
      </c>
      <c r="E6" s="111"/>
      <c r="F6" s="112" t="s">
        <v>104</v>
      </c>
      <c r="G6" s="111"/>
      <c r="H6" s="37"/>
      <c r="I6" s="108" t="s">
        <v>95</v>
      </c>
      <c r="J6" s="110" t="s">
        <v>105</v>
      </c>
      <c r="K6" s="111"/>
      <c r="L6" s="112" t="s">
        <v>106</v>
      </c>
      <c r="M6" s="111"/>
      <c r="N6" s="112" t="s">
        <v>107</v>
      </c>
      <c r="O6" s="111"/>
      <c r="P6" s="112" t="s">
        <v>114</v>
      </c>
      <c r="Q6" s="111"/>
      <c r="R6" s="112" t="s">
        <v>108</v>
      </c>
      <c r="S6" s="111"/>
      <c r="T6" s="112" t="s">
        <v>109</v>
      </c>
      <c r="U6" s="111"/>
      <c r="V6" s="112" t="s">
        <v>110</v>
      </c>
      <c r="W6" s="111"/>
      <c r="X6" s="112" t="s">
        <v>111</v>
      </c>
      <c r="Y6" s="111"/>
      <c r="Z6" s="112" t="s">
        <v>112</v>
      </c>
      <c r="AA6" s="111"/>
      <c r="AB6" s="112" t="s">
        <v>113</v>
      </c>
      <c r="AC6" s="113"/>
    </row>
    <row r="7" spans="2:29" x14ac:dyDescent="0.25">
      <c r="B7" s="107"/>
      <c r="C7" s="109"/>
      <c r="D7" s="27" t="s">
        <v>14</v>
      </c>
      <c r="E7" s="25" t="s">
        <v>15</v>
      </c>
      <c r="F7" s="28" t="s">
        <v>14</v>
      </c>
      <c r="G7" s="25" t="s">
        <v>15</v>
      </c>
      <c r="H7" s="38"/>
      <c r="I7" s="109"/>
      <c r="J7" s="25" t="s">
        <v>14</v>
      </c>
      <c r="K7" s="25" t="s">
        <v>15</v>
      </c>
      <c r="L7" s="25" t="s">
        <v>14</v>
      </c>
      <c r="M7" s="28" t="s">
        <v>15</v>
      </c>
      <c r="N7" s="25" t="s">
        <v>14</v>
      </c>
      <c r="O7" s="28" t="s">
        <v>15</v>
      </c>
      <c r="P7" s="25" t="s">
        <v>14</v>
      </c>
      <c r="Q7" s="28" t="s">
        <v>15</v>
      </c>
      <c r="R7" s="25" t="s">
        <v>14</v>
      </c>
      <c r="S7" s="28" t="s">
        <v>15</v>
      </c>
      <c r="T7" s="25" t="s">
        <v>14</v>
      </c>
      <c r="U7" s="28" t="s">
        <v>15</v>
      </c>
      <c r="V7" s="25" t="s">
        <v>14</v>
      </c>
      <c r="W7" s="28" t="s">
        <v>15</v>
      </c>
      <c r="X7" s="25" t="s">
        <v>14</v>
      </c>
      <c r="Y7" s="28" t="s">
        <v>15</v>
      </c>
      <c r="Z7" s="25" t="s">
        <v>14</v>
      </c>
      <c r="AA7" s="28" t="s">
        <v>15</v>
      </c>
      <c r="AB7" s="25" t="s">
        <v>14</v>
      </c>
      <c r="AC7" s="25" t="s">
        <v>15</v>
      </c>
    </row>
    <row r="8" spans="2:29" ht="18.75" customHeight="1" x14ac:dyDescent="0.25">
      <c r="B8" s="8"/>
      <c r="C8" s="10"/>
      <c r="D8" s="22"/>
      <c r="E8" s="44"/>
      <c r="F8" s="44"/>
      <c r="G8" s="11"/>
      <c r="H8" s="39"/>
      <c r="I8" s="41"/>
      <c r="J8" s="18"/>
      <c r="K8" s="79"/>
      <c r="L8" s="81"/>
      <c r="M8" s="5"/>
      <c r="N8" s="81"/>
      <c r="O8" s="5"/>
      <c r="P8" s="81"/>
      <c r="Q8" s="5"/>
      <c r="R8" s="81"/>
      <c r="S8" s="5"/>
      <c r="T8" s="81"/>
      <c r="U8" s="88"/>
      <c r="V8" s="10"/>
      <c r="W8" s="11"/>
      <c r="X8" s="10"/>
      <c r="Y8" s="11"/>
      <c r="Z8" s="10"/>
      <c r="AA8" s="11"/>
      <c r="AB8" s="10"/>
      <c r="AC8" s="10"/>
    </row>
    <row r="9" spans="2:29" ht="18.75" customHeight="1" x14ac:dyDescent="0.25">
      <c r="B9" s="8"/>
      <c r="C9" s="10"/>
      <c r="D9" s="22"/>
      <c r="E9" s="44"/>
      <c r="F9" s="44"/>
      <c r="G9" s="11"/>
      <c r="H9" s="39"/>
      <c r="I9" s="41"/>
      <c r="J9" s="18"/>
      <c r="K9" s="79"/>
      <c r="L9" s="81"/>
      <c r="M9" s="5"/>
      <c r="N9" s="81"/>
      <c r="O9" s="5"/>
      <c r="P9" s="81"/>
      <c r="Q9" s="5"/>
      <c r="R9" s="81"/>
      <c r="S9" s="5"/>
      <c r="T9" s="81"/>
      <c r="U9" s="89"/>
      <c r="V9" s="10"/>
      <c r="W9" s="11"/>
      <c r="X9" s="10"/>
      <c r="Y9" s="11"/>
      <c r="Z9" s="10"/>
      <c r="AA9" s="11"/>
      <c r="AB9" s="10"/>
      <c r="AC9" s="10"/>
    </row>
    <row r="10" spans="2:29" ht="18.75" customHeight="1" x14ac:dyDescent="0.25">
      <c r="B10" s="8"/>
      <c r="C10" s="10"/>
      <c r="D10" s="22"/>
      <c r="E10" s="44"/>
      <c r="F10" s="44"/>
      <c r="G10" s="11"/>
      <c r="H10" s="39"/>
      <c r="I10" s="41"/>
      <c r="J10" s="18"/>
      <c r="K10" s="79"/>
      <c r="L10" s="81"/>
      <c r="M10" s="5"/>
      <c r="N10" s="81"/>
      <c r="O10" s="5"/>
      <c r="P10" s="81"/>
      <c r="Q10" s="5"/>
      <c r="R10" s="81"/>
      <c r="S10" s="5"/>
      <c r="T10" s="81"/>
      <c r="U10" s="89"/>
      <c r="V10" s="10"/>
      <c r="W10" s="11"/>
      <c r="X10" s="10"/>
      <c r="Y10" s="11"/>
      <c r="Z10" s="10"/>
      <c r="AA10" s="11"/>
      <c r="AB10" s="10"/>
      <c r="AC10" s="10"/>
    </row>
    <row r="11" spans="2:29" ht="18.75" customHeight="1" x14ac:dyDescent="0.25">
      <c r="B11" s="8"/>
      <c r="C11" s="10"/>
      <c r="D11" s="22"/>
      <c r="E11" s="44"/>
      <c r="F11" s="44"/>
      <c r="G11" s="11"/>
      <c r="H11" s="39"/>
      <c r="I11" s="41"/>
      <c r="J11" s="18"/>
      <c r="K11" s="79"/>
      <c r="L11" s="81"/>
      <c r="M11" s="5"/>
      <c r="N11" s="81"/>
      <c r="O11" s="5"/>
      <c r="P11" s="81"/>
      <c r="Q11" s="5"/>
      <c r="R11" s="81"/>
      <c r="S11" s="5"/>
      <c r="T11" s="81"/>
      <c r="U11" s="89"/>
      <c r="V11" s="10"/>
      <c r="W11" s="11"/>
      <c r="X11" s="10"/>
      <c r="Y11" s="11"/>
      <c r="Z11" s="10"/>
      <c r="AA11" s="11"/>
      <c r="AB11" s="10"/>
      <c r="AC11" s="10"/>
    </row>
    <row r="12" spans="2:29" ht="18.75" customHeight="1" x14ac:dyDescent="0.25">
      <c r="B12" s="8"/>
      <c r="C12" s="10"/>
      <c r="D12" s="22"/>
      <c r="E12" s="44"/>
      <c r="F12" s="44"/>
      <c r="G12" s="11"/>
      <c r="H12" s="39"/>
      <c r="I12" s="41"/>
      <c r="J12" s="18"/>
      <c r="K12" s="79"/>
      <c r="L12" s="81"/>
      <c r="M12" s="5"/>
      <c r="N12" s="81"/>
      <c r="O12" s="5"/>
      <c r="P12" s="81"/>
      <c r="Q12" s="5"/>
      <c r="R12" s="81"/>
      <c r="S12" s="5"/>
      <c r="T12" s="81"/>
      <c r="U12" s="89"/>
      <c r="V12" s="10"/>
      <c r="W12" s="11"/>
      <c r="X12" s="10"/>
      <c r="Y12" s="11"/>
      <c r="Z12" s="10"/>
      <c r="AA12" s="11"/>
      <c r="AB12" s="10"/>
      <c r="AC12" s="10"/>
    </row>
    <row r="13" spans="2:29" ht="18.75" customHeight="1" x14ac:dyDescent="0.25">
      <c r="B13" s="8"/>
      <c r="C13" s="10"/>
      <c r="D13" s="22"/>
      <c r="E13" s="44"/>
      <c r="F13" s="44"/>
      <c r="G13" s="11"/>
      <c r="H13" s="39"/>
      <c r="I13" s="41"/>
      <c r="J13" s="18"/>
      <c r="K13" s="79"/>
      <c r="L13" s="81"/>
      <c r="M13" s="5"/>
      <c r="N13" s="81"/>
      <c r="O13" s="5"/>
      <c r="P13" s="81"/>
      <c r="Q13" s="5"/>
      <c r="R13" s="81"/>
      <c r="S13" s="5"/>
      <c r="T13" s="81"/>
      <c r="U13" s="89"/>
      <c r="V13" s="10"/>
      <c r="W13" s="11"/>
      <c r="X13" s="10"/>
      <c r="Y13" s="11"/>
      <c r="Z13" s="10"/>
      <c r="AA13" s="11"/>
      <c r="AB13" s="10"/>
      <c r="AC13" s="10"/>
    </row>
    <row r="14" spans="2:29" ht="18.75" customHeight="1" x14ac:dyDescent="0.25">
      <c r="B14" s="8"/>
      <c r="C14" s="10"/>
      <c r="D14" s="22"/>
      <c r="E14" s="44"/>
      <c r="F14" s="44"/>
      <c r="G14" s="11"/>
      <c r="H14" s="39"/>
      <c r="I14" s="41"/>
      <c r="J14" s="18"/>
      <c r="K14" s="79"/>
      <c r="L14" s="81"/>
      <c r="M14" s="5"/>
      <c r="N14" s="81"/>
      <c r="O14" s="5"/>
      <c r="P14" s="81"/>
      <c r="Q14" s="5"/>
      <c r="R14" s="81"/>
      <c r="S14" s="5"/>
      <c r="T14" s="81"/>
      <c r="U14" s="89"/>
      <c r="V14" s="10"/>
      <c r="W14" s="11"/>
      <c r="X14" s="10"/>
      <c r="Y14" s="11"/>
      <c r="Z14" s="10"/>
      <c r="AA14" s="11"/>
      <c r="AB14" s="10"/>
      <c r="AC14" s="10"/>
    </row>
    <row r="15" spans="2:29" ht="18.75" customHeight="1" x14ac:dyDescent="0.25">
      <c r="B15" s="8"/>
      <c r="C15" s="10"/>
      <c r="D15" s="22"/>
      <c r="E15" s="44"/>
      <c r="F15" s="44"/>
      <c r="G15" s="11"/>
      <c r="H15" s="39"/>
      <c r="I15" s="41"/>
      <c r="J15" s="18"/>
      <c r="K15" s="79"/>
      <c r="L15" s="81"/>
      <c r="M15" s="5"/>
      <c r="N15" s="81"/>
      <c r="O15" s="5"/>
      <c r="P15" s="81"/>
      <c r="Q15" s="5"/>
      <c r="R15" s="81"/>
      <c r="S15" s="5"/>
      <c r="T15" s="81"/>
      <c r="U15" s="89"/>
      <c r="V15" s="10"/>
      <c r="W15" s="11"/>
      <c r="X15" s="10"/>
      <c r="Y15" s="11"/>
      <c r="Z15" s="10"/>
      <c r="AA15" s="11"/>
      <c r="AB15" s="10"/>
      <c r="AC15" s="10"/>
    </row>
    <row r="16" spans="2:29" ht="18.75" customHeight="1" x14ac:dyDescent="0.25">
      <c r="B16" s="8"/>
      <c r="C16" s="10"/>
      <c r="D16" s="22"/>
      <c r="E16" s="44"/>
      <c r="F16" s="44"/>
      <c r="G16" s="11"/>
      <c r="H16" s="39"/>
      <c r="I16" s="41"/>
      <c r="J16" s="18"/>
      <c r="K16" s="79"/>
      <c r="L16" s="81"/>
      <c r="M16" s="5"/>
      <c r="N16" s="81"/>
      <c r="O16" s="5"/>
      <c r="P16" s="81"/>
      <c r="Q16" s="5"/>
      <c r="R16" s="81"/>
      <c r="S16" s="5"/>
      <c r="T16" s="81"/>
      <c r="U16" s="89"/>
      <c r="V16" s="10"/>
      <c r="W16" s="11"/>
      <c r="X16" s="10"/>
      <c r="Y16" s="11"/>
      <c r="Z16" s="10"/>
      <c r="AA16" s="11"/>
      <c r="AB16" s="10"/>
      <c r="AC16" s="10"/>
    </row>
    <row r="17" spans="2:29" ht="18.75" customHeight="1" x14ac:dyDescent="0.25">
      <c r="B17" s="8"/>
      <c r="C17" s="10"/>
      <c r="D17" s="22"/>
      <c r="E17" s="44"/>
      <c r="F17" s="44"/>
      <c r="G17" s="11"/>
      <c r="H17" s="39"/>
      <c r="I17" s="41"/>
      <c r="J17" s="18"/>
      <c r="K17" s="79"/>
      <c r="L17" s="81"/>
      <c r="M17" s="5"/>
      <c r="N17" s="81"/>
      <c r="O17" s="5"/>
      <c r="P17" s="81"/>
      <c r="Q17" s="5"/>
      <c r="R17" s="81"/>
      <c r="S17" s="5"/>
      <c r="T17" s="81"/>
      <c r="U17" s="89"/>
      <c r="V17" s="10"/>
      <c r="W17" s="11"/>
      <c r="X17" s="10"/>
      <c r="Y17" s="11"/>
      <c r="Z17" s="10"/>
      <c r="AA17" s="11"/>
      <c r="AB17" s="10"/>
      <c r="AC17" s="10"/>
    </row>
    <row r="18" spans="2:29" ht="18.75" customHeight="1" x14ac:dyDescent="0.25">
      <c r="B18" s="14" t="s">
        <v>13</v>
      </c>
      <c r="C18" s="24"/>
      <c r="D18" s="21"/>
      <c r="E18" s="45"/>
      <c r="F18" s="45"/>
      <c r="G18" s="15"/>
      <c r="H18" s="40"/>
      <c r="I18" s="42"/>
      <c r="J18" s="19"/>
      <c r="K18" s="80"/>
      <c r="L18" s="82"/>
      <c r="M18" s="83"/>
      <c r="N18" s="82"/>
      <c r="O18" s="83"/>
      <c r="P18" s="82"/>
      <c r="Q18" s="83"/>
      <c r="R18" s="82"/>
      <c r="S18" s="83"/>
      <c r="T18" s="82"/>
      <c r="U18" s="90"/>
      <c r="V18" s="24"/>
      <c r="W18" s="15"/>
      <c r="X18" s="24"/>
      <c r="Y18" s="15"/>
      <c r="Z18" s="24"/>
      <c r="AA18" s="15"/>
      <c r="AB18" s="24"/>
      <c r="AC18" s="24"/>
    </row>
    <row r="19" spans="2:29" ht="45" customHeight="1" x14ac:dyDescent="0.25">
      <c r="B19" s="114" t="s">
        <v>153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</row>
    <row r="20" spans="2:29" ht="18.75" customHeight="1" x14ac:dyDescent="0.25"/>
    <row r="21" spans="2:29" ht="18.75" customHeight="1" x14ac:dyDescent="0.25"/>
    <row r="22" spans="2:29" x14ac:dyDescent="0.25">
      <c r="B22" s="102" t="s">
        <v>12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</row>
    <row r="23" spans="2:29" x14ac:dyDescent="0.25"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</row>
    <row r="24" spans="2:29" ht="33.75" customHeight="1" x14ac:dyDescent="0.25">
      <c r="B24" s="104" t="s">
        <v>144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</row>
    <row r="25" spans="2:29" ht="15" customHeight="1" x14ac:dyDescent="0.25">
      <c r="B25" s="9"/>
      <c r="C25" s="105" t="s">
        <v>101</v>
      </c>
      <c r="D25" s="105"/>
      <c r="E25" s="105"/>
      <c r="F25" s="105"/>
      <c r="G25" s="105"/>
      <c r="H25" s="36"/>
      <c r="I25" s="105" t="s">
        <v>102</v>
      </c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</row>
    <row r="26" spans="2:29" ht="48.75" customHeight="1" x14ac:dyDescent="0.25">
      <c r="B26" s="106" t="s">
        <v>0</v>
      </c>
      <c r="C26" s="108" t="s">
        <v>1</v>
      </c>
      <c r="D26" s="110" t="s">
        <v>103</v>
      </c>
      <c r="E26" s="111"/>
      <c r="F26" s="112" t="s">
        <v>104</v>
      </c>
      <c r="G26" s="111"/>
      <c r="H26" s="37"/>
      <c r="I26" s="108" t="s">
        <v>95</v>
      </c>
      <c r="J26" s="110" t="s">
        <v>105</v>
      </c>
      <c r="K26" s="111"/>
      <c r="L26" s="112" t="s">
        <v>106</v>
      </c>
      <c r="M26" s="111"/>
      <c r="N26" s="112" t="s">
        <v>107</v>
      </c>
      <c r="O26" s="111"/>
      <c r="P26" s="112" t="s">
        <v>114</v>
      </c>
      <c r="Q26" s="111"/>
      <c r="R26" s="112" t="s">
        <v>108</v>
      </c>
      <c r="S26" s="111"/>
      <c r="T26" s="112" t="s">
        <v>109</v>
      </c>
      <c r="U26" s="111"/>
      <c r="V26" s="112" t="s">
        <v>110</v>
      </c>
      <c r="W26" s="111"/>
      <c r="X26" s="112" t="s">
        <v>111</v>
      </c>
      <c r="Y26" s="111"/>
      <c r="Z26" s="112" t="s">
        <v>112</v>
      </c>
      <c r="AA26" s="111"/>
      <c r="AB26" s="112" t="s">
        <v>113</v>
      </c>
      <c r="AC26" s="113"/>
    </row>
    <row r="27" spans="2:29" x14ac:dyDescent="0.25">
      <c r="B27" s="107"/>
      <c r="C27" s="109"/>
      <c r="D27" s="27" t="s">
        <v>14</v>
      </c>
      <c r="E27" s="25" t="s">
        <v>15</v>
      </c>
      <c r="F27" s="28" t="s">
        <v>14</v>
      </c>
      <c r="G27" s="25" t="s">
        <v>15</v>
      </c>
      <c r="H27" s="38"/>
      <c r="I27" s="109"/>
      <c r="J27" s="25" t="s">
        <v>14</v>
      </c>
      <c r="K27" s="25" t="s">
        <v>15</v>
      </c>
      <c r="L27" s="25" t="s">
        <v>14</v>
      </c>
      <c r="M27" s="28" t="s">
        <v>15</v>
      </c>
      <c r="N27" s="25" t="s">
        <v>14</v>
      </c>
      <c r="O27" s="28" t="s">
        <v>15</v>
      </c>
      <c r="P27" s="25" t="s">
        <v>14</v>
      </c>
      <c r="Q27" s="28" t="s">
        <v>15</v>
      </c>
      <c r="R27" s="25" t="s">
        <v>14</v>
      </c>
      <c r="S27" s="28" t="s">
        <v>15</v>
      </c>
      <c r="T27" s="25" t="s">
        <v>14</v>
      </c>
      <c r="U27" s="28" t="s">
        <v>15</v>
      </c>
      <c r="V27" s="25" t="s">
        <v>14</v>
      </c>
      <c r="W27" s="28" t="s">
        <v>15</v>
      </c>
      <c r="X27" s="25" t="s">
        <v>14</v>
      </c>
      <c r="Y27" s="28" t="s">
        <v>15</v>
      </c>
      <c r="Z27" s="25" t="s">
        <v>14</v>
      </c>
      <c r="AA27" s="28" t="s">
        <v>15</v>
      </c>
      <c r="AB27" s="25" t="s">
        <v>14</v>
      </c>
      <c r="AC27" s="25" t="s">
        <v>15</v>
      </c>
    </row>
    <row r="28" spans="2:29" ht="18.75" customHeight="1" x14ac:dyDescent="0.25">
      <c r="B28" s="8" t="s">
        <v>2</v>
      </c>
      <c r="C28" s="73">
        <v>60</v>
      </c>
      <c r="D28" s="74">
        <v>43</v>
      </c>
      <c r="E28" s="46">
        <f>D28/$C28</f>
        <v>0.71666666666666667</v>
      </c>
      <c r="F28" s="75">
        <v>4</v>
      </c>
      <c r="G28" s="17">
        <f>F28/$C28</f>
        <v>6.6666666666666666E-2</v>
      </c>
      <c r="H28" s="39"/>
      <c r="I28" s="76">
        <f>C28-F28</f>
        <v>56</v>
      </c>
      <c r="J28" s="22">
        <v>38</v>
      </c>
      <c r="K28" s="92">
        <f>J28/$I28</f>
        <v>0.6785714285714286</v>
      </c>
      <c r="L28" s="10">
        <v>49</v>
      </c>
      <c r="M28" s="91">
        <f>L28/$I28</f>
        <v>0.875</v>
      </c>
      <c r="N28" s="10">
        <v>34</v>
      </c>
      <c r="O28" s="91">
        <f>N28/$I28</f>
        <v>0.6071428571428571</v>
      </c>
      <c r="P28" s="10">
        <v>24</v>
      </c>
      <c r="Q28" s="91">
        <f>P28/$I28</f>
        <v>0.42857142857142855</v>
      </c>
      <c r="R28" s="10">
        <v>24</v>
      </c>
      <c r="S28" s="91">
        <f>R28/$I28</f>
        <v>0.42857142857142855</v>
      </c>
      <c r="T28" s="10">
        <v>49</v>
      </c>
      <c r="U28" s="93">
        <f>T28/$I28</f>
        <v>0.875</v>
      </c>
      <c r="V28" s="94">
        <v>11</v>
      </c>
      <c r="W28" s="95">
        <f>V28/$I28</f>
        <v>0.19642857142857142</v>
      </c>
      <c r="X28" s="94">
        <v>8</v>
      </c>
      <c r="Y28" s="95">
        <f>X28/$I28</f>
        <v>0.14285714285714285</v>
      </c>
      <c r="Z28" s="94">
        <v>10</v>
      </c>
      <c r="AA28" s="95">
        <f>Z28/$I28</f>
        <v>0.17857142857142858</v>
      </c>
      <c r="AB28" s="94">
        <v>8</v>
      </c>
      <c r="AC28" s="96">
        <f>AB28/$I28</f>
        <v>0.14285714285714285</v>
      </c>
    </row>
    <row r="29" spans="2:29" ht="18.75" customHeight="1" x14ac:dyDescent="0.25">
      <c r="B29" s="8" t="s">
        <v>3</v>
      </c>
      <c r="C29" s="73">
        <v>60</v>
      </c>
      <c r="D29" s="74">
        <v>36</v>
      </c>
      <c r="E29" s="46">
        <f t="shared" ref="E29:E38" si="0">D29/$C29</f>
        <v>0.6</v>
      </c>
      <c r="F29" s="75">
        <v>3</v>
      </c>
      <c r="G29" s="17">
        <f t="shared" ref="G29:G38" si="1">F29/$C29</f>
        <v>0.05</v>
      </c>
      <c r="H29" s="39"/>
      <c r="I29" s="49">
        <f t="shared" ref="I29:I37" si="2">C29-F29</f>
        <v>57</v>
      </c>
      <c r="J29" s="22">
        <v>38</v>
      </c>
      <c r="K29" s="92">
        <f t="shared" ref="K29:M38" si="3">J29/$I29</f>
        <v>0.66666666666666663</v>
      </c>
      <c r="L29" s="10">
        <v>38</v>
      </c>
      <c r="M29" s="91">
        <f t="shared" si="3"/>
        <v>0.66666666666666663</v>
      </c>
      <c r="N29" s="10">
        <v>36</v>
      </c>
      <c r="O29" s="91">
        <f t="shared" ref="O29" si="4">N29/$I29</f>
        <v>0.63157894736842102</v>
      </c>
      <c r="P29" s="10">
        <v>24</v>
      </c>
      <c r="Q29" s="91">
        <f t="shared" ref="Q29" si="5">P29/$I29</f>
        <v>0.42105263157894735</v>
      </c>
      <c r="R29" s="10">
        <v>36</v>
      </c>
      <c r="S29" s="91">
        <f t="shared" ref="S29" si="6">R29/$I29</f>
        <v>0.63157894736842102</v>
      </c>
      <c r="T29" s="10">
        <v>40</v>
      </c>
      <c r="U29" s="17">
        <f t="shared" ref="U29" si="7">T29/$I29</f>
        <v>0.70175438596491224</v>
      </c>
      <c r="V29" s="94">
        <v>6</v>
      </c>
      <c r="W29" s="95">
        <f t="shared" ref="W29" si="8">V29/$I29</f>
        <v>0.10526315789473684</v>
      </c>
      <c r="X29" s="94">
        <v>10</v>
      </c>
      <c r="Y29" s="95">
        <f t="shared" ref="Y29" si="9">X29/$I29</f>
        <v>0.17543859649122806</v>
      </c>
      <c r="Z29" s="94">
        <v>6</v>
      </c>
      <c r="AA29" s="95">
        <f t="shared" ref="AA29" si="10">Z29/$I29</f>
        <v>0.10526315789473684</v>
      </c>
      <c r="AB29" s="94">
        <v>6</v>
      </c>
      <c r="AC29" s="96">
        <f t="shared" ref="AC29" si="11">AB29/$I29</f>
        <v>0.10526315789473684</v>
      </c>
    </row>
    <row r="30" spans="2:29" ht="18.75" customHeight="1" x14ac:dyDescent="0.25">
      <c r="B30" s="8" t="s">
        <v>4</v>
      </c>
      <c r="C30" s="73">
        <v>60</v>
      </c>
      <c r="D30" s="74">
        <v>43</v>
      </c>
      <c r="E30" s="46">
        <f t="shared" si="0"/>
        <v>0.71666666666666667</v>
      </c>
      <c r="F30" s="75">
        <v>4</v>
      </c>
      <c r="G30" s="17">
        <f t="shared" si="1"/>
        <v>6.6666666666666666E-2</v>
      </c>
      <c r="H30" s="39"/>
      <c r="I30" s="49">
        <f t="shared" si="2"/>
        <v>56</v>
      </c>
      <c r="J30" s="22">
        <v>44</v>
      </c>
      <c r="K30" s="92">
        <f t="shared" si="3"/>
        <v>0.7857142857142857</v>
      </c>
      <c r="L30" s="10">
        <v>40</v>
      </c>
      <c r="M30" s="91">
        <f t="shared" si="3"/>
        <v>0.7142857142857143</v>
      </c>
      <c r="N30" s="10">
        <v>50</v>
      </c>
      <c r="O30" s="91">
        <f t="shared" ref="O30" si="12">N30/$I30</f>
        <v>0.8928571428571429</v>
      </c>
      <c r="P30" s="10">
        <v>26</v>
      </c>
      <c r="Q30" s="91">
        <f t="shared" ref="Q30" si="13">P30/$I30</f>
        <v>0.4642857142857143</v>
      </c>
      <c r="R30" s="10">
        <v>29</v>
      </c>
      <c r="S30" s="91">
        <f t="shared" ref="S30" si="14">R30/$I30</f>
        <v>0.5178571428571429</v>
      </c>
      <c r="T30" s="10">
        <v>41</v>
      </c>
      <c r="U30" s="17">
        <f t="shared" ref="U30" si="15">T30/$I30</f>
        <v>0.7321428571428571</v>
      </c>
      <c r="V30" s="94">
        <v>8</v>
      </c>
      <c r="W30" s="95">
        <f t="shared" ref="W30" si="16">V30/$I30</f>
        <v>0.14285714285714285</v>
      </c>
      <c r="X30" s="94">
        <v>10</v>
      </c>
      <c r="Y30" s="95">
        <f t="shared" ref="Y30" si="17">X30/$I30</f>
        <v>0.17857142857142858</v>
      </c>
      <c r="Z30" s="94">
        <v>7</v>
      </c>
      <c r="AA30" s="95">
        <f t="shared" ref="AA30" si="18">Z30/$I30</f>
        <v>0.125</v>
      </c>
      <c r="AB30" s="94">
        <v>8</v>
      </c>
      <c r="AC30" s="96">
        <f t="shared" ref="AC30" si="19">AB30/$I30</f>
        <v>0.14285714285714285</v>
      </c>
    </row>
    <row r="31" spans="2:29" ht="18.75" customHeight="1" x14ac:dyDescent="0.25">
      <c r="B31" s="8" t="s">
        <v>5</v>
      </c>
      <c r="C31" s="73">
        <v>60</v>
      </c>
      <c r="D31" s="74">
        <v>54</v>
      </c>
      <c r="E31" s="46">
        <f t="shared" si="0"/>
        <v>0.9</v>
      </c>
      <c r="F31" s="75">
        <v>3</v>
      </c>
      <c r="G31" s="17">
        <f t="shared" si="1"/>
        <v>0.05</v>
      </c>
      <c r="H31" s="39"/>
      <c r="I31" s="49">
        <f t="shared" si="2"/>
        <v>57</v>
      </c>
      <c r="J31" s="22">
        <v>43</v>
      </c>
      <c r="K31" s="92">
        <f t="shared" si="3"/>
        <v>0.75438596491228072</v>
      </c>
      <c r="L31" s="10">
        <v>35</v>
      </c>
      <c r="M31" s="91">
        <f t="shared" si="3"/>
        <v>0.61403508771929827</v>
      </c>
      <c r="N31" s="10">
        <v>26</v>
      </c>
      <c r="O31" s="91">
        <f t="shared" ref="O31" si="20">N31/$I31</f>
        <v>0.45614035087719296</v>
      </c>
      <c r="P31" s="10">
        <v>37</v>
      </c>
      <c r="Q31" s="91">
        <f t="shared" ref="Q31" si="21">P31/$I31</f>
        <v>0.64912280701754388</v>
      </c>
      <c r="R31" s="10">
        <v>37</v>
      </c>
      <c r="S31" s="91">
        <f t="shared" ref="S31" si="22">R31/$I31</f>
        <v>0.64912280701754388</v>
      </c>
      <c r="T31" s="10">
        <v>50</v>
      </c>
      <c r="U31" s="17">
        <f t="shared" ref="U31" si="23">T31/$I31</f>
        <v>0.8771929824561403</v>
      </c>
      <c r="V31" s="94">
        <v>11</v>
      </c>
      <c r="W31" s="95">
        <f t="shared" ref="W31" si="24">V31/$I31</f>
        <v>0.19298245614035087</v>
      </c>
      <c r="X31" s="94">
        <v>7</v>
      </c>
      <c r="Y31" s="95">
        <f t="shared" ref="Y31" si="25">X31/$I31</f>
        <v>0.12280701754385964</v>
      </c>
      <c r="Z31" s="94">
        <v>7</v>
      </c>
      <c r="AA31" s="95">
        <f t="shared" ref="AA31" si="26">Z31/$I31</f>
        <v>0.12280701754385964</v>
      </c>
      <c r="AB31" s="94">
        <v>11</v>
      </c>
      <c r="AC31" s="96">
        <f t="shared" ref="AC31" si="27">AB31/$I31</f>
        <v>0.19298245614035087</v>
      </c>
    </row>
    <row r="32" spans="2:29" ht="18.75" customHeight="1" x14ac:dyDescent="0.25">
      <c r="B32" s="8" t="s">
        <v>6</v>
      </c>
      <c r="C32" s="73">
        <v>60</v>
      </c>
      <c r="D32" s="74">
        <v>37</v>
      </c>
      <c r="E32" s="46">
        <f t="shared" si="0"/>
        <v>0.6166666666666667</v>
      </c>
      <c r="F32" s="75">
        <v>5</v>
      </c>
      <c r="G32" s="17">
        <f t="shared" si="1"/>
        <v>8.3333333333333329E-2</v>
      </c>
      <c r="H32" s="39"/>
      <c r="I32" s="49">
        <f t="shared" si="2"/>
        <v>55</v>
      </c>
      <c r="J32" s="22">
        <v>40</v>
      </c>
      <c r="K32" s="92">
        <f t="shared" si="3"/>
        <v>0.72727272727272729</v>
      </c>
      <c r="L32" s="10">
        <v>48</v>
      </c>
      <c r="M32" s="91">
        <f t="shared" si="3"/>
        <v>0.87272727272727268</v>
      </c>
      <c r="N32" s="10">
        <v>29</v>
      </c>
      <c r="O32" s="91">
        <f t="shared" ref="O32" si="28">N32/$I32</f>
        <v>0.52727272727272723</v>
      </c>
      <c r="P32" s="10">
        <v>37</v>
      </c>
      <c r="Q32" s="91">
        <f t="shared" ref="Q32" si="29">P32/$I32</f>
        <v>0.67272727272727273</v>
      </c>
      <c r="R32" s="10">
        <v>26</v>
      </c>
      <c r="S32" s="91">
        <f t="shared" ref="S32" si="30">R32/$I32</f>
        <v>0.47272727272727272</v>
      </c>
      <c r="T32" s="10">
        <v>38</v>
      </c>
      <c r="U32" s="17">
        <f t="shared" ref="U32" si="31">T32/$I32</f>
        <v>0.69090909090909092</v>
      </c>
      <c r="V32" s="94">
        <v>6</v>
      </c>
      <c r="W32" s="95">
        <f t="shared" ref="W32" si="32">V32/$I32</f>
        <v>0.10909090909090909</v>
      </c>
      <c r="X32" s="94">
        <v>9</v>
      </c>
      <c r="Y32" s="95">
        <f t="shared" ref="Y32" si="33">X32/$I32</f>
        <v>0.16363636363636364</v>
      </c>
      <c r="Z32" s="94">
        <v>7</v>
      </c>
      <c r="AA32" s="95">
        <f t="shared" ref="AA32" si="34">Z32/$I32</f>
        <v>0.12727272727272726</v>
      </c>
      <c r="AB32" s="94">
        <v>7</v>
      </c>
      <c r="AC32" s="96">
        <f t="shared" ref="AC32" si="35">AB32/$I32</f>
        <v>0.12727272727272726</v>
      </c>
    </row>
    <row r="33" spans="2:29" ht="18.75" customHeight="1" x14ac:dyDescent="0.25">
      <c r="B33" s="8" t="s">
        <v>7</v>
      </c>
      <c r="C33" s="73">
        <v>60</v>
      </c>
      <c r="D33" s="74">
        <v>38</v>
      </c>
      <c r="E33" s="46">
        <f t="shared" si="0"/>
        <v>0.6333333333333333</v>
      </c>
      <c r="F33" s="75">
        <v>3</v>
      </c>
      <c r="G33" s="17">
        <f t="shared" si="1"/>
        <v>0.05</v>
      </c>
      <c r="H33" s="39"/>
      <c r="I33" s="49">
        <f t="shared" si="2"/>
        <v>57</v>
      </c>
      <c r="J33" s="22">
        <v>39</v>
      </c>
      <c r="K33" s="92">
        <f t="shared" si="3"/>
        <v>0.68421052631578949</v>
      </c>
      <c r="L33" s="10">
        <v>47</v>
      </c>
      <c r="M33" s="91">
        <f t="shared" si="3"/>
        <v>0.82456140350877194</v>
      </c>
      <c r="N33" s="10">
        <v>35</v>
      </c>
      <c r="O33" s="91">
        <f t="shared" ref="O33" si="36">N33/$I33</f>
        <v>0.61403508771929827</v>
      </c>
      <c r="P33" s="10">
        <v>26</v>
      </c>
      <c r="Q33" s="91">
        <f t="shared" ref="Q33" si="37">P33/$I33</f>
        <v>0.45614035087719296</v>
      </c>
      <c r="R33" s="10">
        <v>35</v>
      </c>
      <c r="S33" s="91">
        <f t="shared" ref="S33" si="38">R33/$I33</f>
        <v>0.61403508771929827</v>
      </c>
      <c r="T33" s="10">
        <v>50</v>
      </c>
      <c r="U33" s="17">
        <f t="shared" ref="U33" si="39">T33/$I33</f>
        <v>0.8771929824561403</v>
      </c>
      <c r="V33" s="94">
        <v>7</v>
      </c>
      <c r="W33" s="95">
        <f t="shared" ref="W33" si="40">V33/$I33</f>
        <v>0.12280701754385964</v>
      </c>
      <c r="X33" s="94">
        <v>11</v>
      </c>
      <c r="Y33" s="95">
        <f t="shared" ref="Y33" si="41">X33/$I33</f>
        <v>0.19298245614035087</v>
      </c>
      <c r="Z33" s="94">
        <v>9</v>
      </c>
      <c r="AA33" s="95">
        <f t="shared" ref="AA33" si="42">Z33/$I33</f>
        <v>0.15789473684210525</v>
      </c>
      <c r="AB33" s="94">
        <v>11</v>
      </c>
      <c r="AC33" s="96">
        <f t="shared" ref="AC33" si="43">AB33/$I33</f>
        <v>0.19298245614035087</v>
      </c>
    </row>
    <row r="34" spans="2:29" ht="18.75" customHeight="1" x14ac:dyDescent="0.25">
      <c r="B34" s="8" t="s">
        <v>8</v>
      </c>
      <c r="C34" s="73">
        <v>60</v>
      </c>
      <c r="D34" s="74">
        <v>38</v>
      </c>
      <c r="E34" s="46">
        <f t="shared" si="0"/>
        <v>0.6333333333333333</v>
      </c>
      <c r="F34" s="75">
        <v>5</v>
      </c>
      <c r="G34" s="17">
        <f t="shared" si="1"/>
        <v>8.3333333333333329E-2</v>
      </c>
      <c r="H34" s="39"/>
      <c r="I34" s="49">
        <f t="shared" si="2"/>
        <v>55</v>
      </c>
      <c r="J34" s="22">
        <v>36</v>
      </c>
      <c r="K34" s="92">
        <f t="shared" si="3"/>
        <v>0.65454545454545454</v>
      </c>
      <c r="L34" s="10">
        <v>44</v>
      </c>
      <c r="M34" s="91">
        <f t="shared" si="3"/>
        <v>0.8</v>
      </c>
      <c r="N34" s="10">
        <v>27</v>
      </c>
      <c r="O34" s="91">
        <f t="shared" ref="O34" si="44">N34/$I34</f>
        <v>0.49090909090909091</v>
      </c>
      <c r="P34" s="10">
        <v>32</v>
      </c>
      <c r="Q34" s="91">
        <f t="shared" ref="Q34" si="45">P34/$I34</f>
        <v>0.58181818181818179</v>
      </c>
      <c r="R34" s="10">
        <v>36</v>
      </c>
      <c r="S34" s="91">
        <f t="shared" ref="S34" si="46">R34/$I34</f>
        <v>0.65454545454545454</v>
      </c>
      <c r="T34" s="10">
        <v>46</v>
      </c>
      <c r="U34" s="17">
        <f t="shared" ref="U34" si="47">T34/$I34</f>
        <v>0.83636363636363631</v>
      </c>
      <c r="V34" s="94">
        <v>7</v>
      </c>
      <c r="W34" s="95">
        <f t="shared" ref="W34" si="48">V34/$I34</f>
        <v>0.12727272727272726</v>
      </c>
      <c r="X34" s="94">
        <v>10</v>
      </c>
      <c r="Y34" s="95">
        <f t="shared" ref="Y34" si="49">X34/$I34</f>
        <v>0.18181818181818182</v>
      </c>
      <c r="Z34" s="94">
        <v>6</v>
      </c>
      <c r="AA34" s="95">
        <f t="shared" ref="AA34" si="50">Z34/$I34</f>
        <v>0.10909090909090909</v>
      </c>
      <c r="AB34" s="94">
        <v>10</v>
      </c>
      <c r="AC34" s="96">
        <f t="shared" ref="AC34" si="51">AB34/$I34</f>
        <v>0.18181818181818182</v>
      </c>
    </row>
    <row r="35" spans="2:29" ht="18.75" customHeight="1" x14ac:dyDescent="0.25">
      <c r="B35" s="8" t="s">
        <v>9</v>
      </c>
      <c r="C35" s="73">
        <v>60</v>
      </c>
      <c r="D35" s="74">
        <v>53</v>
      </c>
      <c r="E35" s="46">
        <f t="shared" si="0"/>
        <v>0.8833333333333333</v>
      </c>
      <c r="F35" s="75">
        <v>3</v>
      </c>
      <c r="G35" s="17">
        <f t="shared" si="1"/>
        <v>0.05</v>
      </c>
      <c r="H35" s="39"/>
      <c r="I35" s="49">
        <f t="shared" si="2"/>
        <v>57</v>
      </c>
      <c r="J35" s="22">
        <v>38</v>
      </c>
      <c r="K35" s="92">
        <f t="shared" si="3"/>
        <v>0.66666666666666663</v>
      </c>
      <c r="L35" s="10">
        <v>43</v>
      </c>
      <c r="M35" s="91">
        <f t="shared" si="3"/>
        <v>0.75438596491228072</v>
      </c>
      <c r="N35" s="10">
        <v>27</v>
      </c>
      <c r="O35" s="91">
        <f t="shared" ref="O35" si="52">N35/$I35</f>
        <v>0.47368421052631576</v>
      </c>
      <c r="P35" s="10">
        <v>31</v>
      </c>
      <c r="Q35" s="91">
        <f t="shared" ref="Q35" si="53">P35/$I35</f>
        <v>0.54385964912280704</v>
      </c>
      <c r="R35" s="10">
        <v>29</v>
      </c>
      <c r="S35" s="91">
        <f t="shared" ref="S35" si="54">R35/$I35</f>
        <v>0.50877192982456143</v>
      </c>
      <c r="T35" s="10">
        <v>47</v>
      </c>
      <c r="U35" s="17">
        <f t="shared" ref="U35" si="55">T35/$I35</f>
        <v>0.82456140350877194</v>
      </c>
      <c r="V35" s="94">
        <v>6</v>
      </c>
      <c r="W35" s="95">
        <f t="shared" ref="W35" si="56">V35/$I35</f>
        <v>0.10526315789473684</v>
      </c>
      <c r="X35" s="94">
        <v>10</v>
      </c>
      <c r="Y35" s="95">
        <f t="shared" ref="Y35" si="57">X35/$I35</f>
        <v>0.17543859649122806</v>
      </c>
      <c r="Z35" s="94">
        <v>7</v>
      </c>
      <c r="AA35" s="95">
        <f t="shared" ref="AA35" si="58">Z35/$I35</f>
        <v>0.12280701754385964</v>
      </c>
      <c r="AB35" s="94">
        <v>10</v>
      </c>
      <c r="AC35" s="96">
        <f t="shared" ref="AC35" si="59">AB35/$I35</f>
        <v>0.17543859649122806</v>
      </c>
    </row>
    <row r="36" spans="2:29" ht="18.75" customHeight="1" x14ac:dyDescent="0.25">
      <c r="B36" s="8" t="s">
        <v>10</v>
      </c>
      <c r="C36" s="73">
        <v>60</v>
      </c>
      <c r="D36" s="74">
        <v>46</v>
      </c>
      <c r="E36" s="46">
        <f t="shared" si="0"/>
        <v>0.76666666666666672</v>
      </c>
      <c r="F36" s="75">
        <v>2</v>
      </c>
      <c r="G36" s="17">
        <f t="shared" si="1"/>
        <v>3.3333333333333333E-2</v>
      </c>
      <c r="H36" s="39"/>
      <c r="I36" s="49">
        <f t="shared" si="2"/>
        <v>58</v>
      </c>
      <c r="J36" s="22">
        <v>46</v>
      </c>
      <c r="K36" s="92">
        <f t="shared" si="3"/>
        <v>0.7931034482758621</v>
      </c>
      <c r="L36" s="10">
        <v>49</v>
      </c>
      <c r="M36" s="91">
        <f t="shared" si="3"/>
        <v>0.84482758620689657</v>
      </c>
      <c r="N36" s="10">
        <v>28</v>
      </c>
      <c r="O36" s="91">
        <f t="shared" ref="O36" si="60">N36/$I36</f>
        <v>0.48275862068965519</v>
      </c>
      <c r="P36" s="10">
        <v>34</v>
      </c>
      <c r="Q36" s="91">
        <f t="shared" ref="Q36" si="61">P36/$I36</f>
        <v>0.58620689655172409</v>
      </c>
      <c r="R36" s="10">
        <v>41</v>
      </c>
      <c r="S36" s="91">
        <f t="shared" ref="S36" si="62">R36/$I36</f>
        <v>0.7068965517241379</v>
      </c>
      <c r="T36" s="10">
        <v>34</v>
      </c>
      <c r="U36" s="17">
        <f t="shared" ref="U36" si="63">T36/$I36</f>
        <v>0.58620689655172409</v>
      </c>
      <c r="V36" s="94">
        <v>8</v>
      </c>
      <c r="W36" s="95">
        <f t="shared" ref="W36" si="64">V36/$I36</f>
        <v>0.13793103448275862</v>
      </c>
      <c r="X36" s="94">
        <v>10</v>
      </c>
      <c r="Y36" s="95">
        <f t="shared" ref="Y36" si="65">X36/$I36</f>
        <v>0.17241379310344829</v>
      </c>
      <c r="Z36" s="94">
        <v>8</v>
      </c>
      <c r="AA36" s="95">
        <f t="shared" ref="AA36" si="66">Z36/$I36</f>
        <v>0.13793103448275862</v>
      </c>
      <c r="AB36" s="94">
        <v>6</v>
      </c>
      <c r="AC36" s="96">
        <f t="shared" ref="AC36" si="67">AB36/$I36</f>
        <v>0.10344827586206896</v>
      </c>
    </row>
    <row r="37" spans="2:29" ht="18.75" customHeight="1" x14ac:dyDescent="0.25">
      <c r="B37" s="8" t="s">
        <v>11</v>
      </c>
      <c r="C37" s="73">
        <v>60</v>
      </c>
      <c r="D37" s="74">
        <v>40</v>
      </c>
      <c r="E37" s="46">
        <f t="shared" si="0"/>
        <v>0.66666666666666663</v>
      </c>
      <c r="F37" s="75">
        <v>5</v>
      </c>
      <c r="G37" s="17">
        <f t="shared" si="1"/>
        <v>8.3333333333333329E-2</v>
      </c>
      <c r="H37" s="39"/>
      <c r="I37" s="49">
        <f t="shared" si="2"/>
        <v>55</v>
      </c>
      <c r="J37" s="22">
        <v>37</v>
      </c>
      <c r="K37" s="92">
        <f t="shared" si="3"/>
        <v>0.67272727272727273</v>
      </c>
      <c r="L37" s="10">
        <v>47</v>
      </c>
      <c r="M37" s="91">
        <f t="shared" si="3"/>
        <v>0.8545454545454545</v>
      </c>
      <c r="N37" s="10">
        <v>40</v>
      </c>
      <c r="O37" s="91">
        <f t="shared" ref="O37" si="68">N37/$I37</f>
        <v>0.72727272727272729</v>
      </c>
      <c r="P37" s="10">
        <v>35</v>
      </c>
      <c r="Q37" s="91">
        <f t="shared" ref="Q37" si="69">P37/$I37</f>
        <v>0.63636363636363635</v>
      </c>
      <c r="R37" s="10">
        <v>22</v>
      </c>
      <c r="S37" s="91">
        <f t="shared" ref="S37" si="70">R37/$I37</f>
        <v>0.4</v>
      </c>
      <c r="T37" s="10">
        <v>42</v>
      </c>
      <c r="U37" s="17">
        <f t="shared" ref="U37" si="71">T37/$I37</f>
        <v>0.76363636363636367</v>
      </c>
      <c r="V37" s="94">
        <v>7</v>
      </c>
      <c r="W37" s="95">
        <f t="shared" ref="W37" si="72">V37/$I37</f>
        <v>0.12727272727272726</v>
      </c>
      <c r="X37" s="94">
        <v>10</v>
      </c>
      <c r="Y37" s="95">
        <f t="shared" ref="Y37" si="73">X37/$I37</f>
        <v>0.18181818181818182</v>
      </c>
      <c r="Z37" s="94">
        <v>8</v>
      </c>
      <c r="AA37" s="95">
        <f t="shared" ref="AA37" si="74">Z37/$I37</f>
        <v>0.14545454545454545</v>
      </c>
      <c r="AB37" s="94">
        <v>7</v>
      </c>
      <c r="AC37" s="96">
        <f t="shared" ref="AC37" si="75">AB37/$I37</f>
        <v>0.12727272727272726</v>
      </c>
    </row>
    <row r="38" spans="2:29" ht="18.75" customHeight="1" x14ac:dyDescent="0.25">
      <c r="B38" s="14" t="s">
        <v>13</v>
      </c>
      <c r="C38" s="64">
        <f>SUM(C28:C37)</f>
        <v>600</v>
      </c>
      <c r="D38" s="72">
        <f>SUM(D28:D37)</f>
        <v>428</v>
      </c>
      <c r="E38" s="53">
        <f t="shared" si="0"/>
        <v>0.71333333333333337</v>
      </c>
      <c r="F38" s="78">
        <f>SUM(F28:F37)</f>
        <v>37</v>
      </c>
      <c r="G38" s="53">
        <f t="shared" si="1"/>
        <v>6.1666666666666668E-2</v>
      </c>
      <c r="H38" s="54"/>
      <c r="I38" s="101">
        <f>C38-F38</f>
        <v>563</v>
      </c>
      <c r="J38" s="52">
        <f>SUM(J28:J37)</f>
        <v>399</v>
      </c>
      <c r="K38" s="97">
        <f t="shared" si="3"/>
        <v>0.70870337477797518</v>
      </c>
      <c r="L38" s="51">
        <f>SUM(L28:L37)</f>
        <v>440</v>
      </c>
      <c r="M38" s="77">
        <f t="shared" si="3"/>
        <v>0.78152753108348139</v>
      </c>
      <c r="N38" s="51">
        <f>SUM(N28:N37)</f>
        <v>332</v>
      </c>
      <c r="O38" s="77">
        <f t="shared" ref="O38" si="76">N38/$I38</f>
        <v>0.58969804618117228</v>
      </c>
      <c r="P38" s="51">
        <f>SUM(P28:P37)</f>
        <v>306</v>
      </c>
      <c r="Q38" s="77">
        <f t="shared" ref="Q38" si="77">P38/$I38</f>
        <v>0.54351687388987568</v>
      </c>
      <c r="R38" s="51">
        <f>SUM(R28:R37)</f>
        <v>315</v>
      </c>
      <c r="S38" s="77">
        <f t="shared" ref="S38" si="78">R38/$I38</f>
        <v>0.55950266429840145</v>
      </c>
      <c r="T38" s="51">
        <f>SUM(T28:T37)</f>
        <v>437</v>
      </c>
      <c r="U38" s="53">
        <f t="shared" ref="U38" si="79">T38/$I38</f>
        <v>0.77619893428063946</v>
      </c>
      <c r="V38" s="98">
        <f>SUM(V28:V37)</f>
        <v>77</v>
      </c>
      <c r="W38" s="99">
        <f t="shared" ref="W38" si="80">V38/$I38</f>
        <v>0.13676731793960922</v>
      </c>
      <c r="X38" s="98">
        <f>SUM(X28:X37)</f>
        <v>95</v>
      </c>
      <c r="Y38" s="99">
        <f t="shared" ref="Y38" si="81">X38/$I38</f>
        <v>0.16873889875666073</v>
      </c>
      <c r="Z38" s="98">
        <f>SUM(Z28:Z37)</f>
        <v>75</v>
      </c>
      <c r="AA38" s="99">
        <f t="shared" ref="AA38" si="82">Z38/$I38</f>
        <v>0.13321492007104796</v>
      </c>
      <c r="AB38" s="98">
        <f>SUM(AB28:AB37)</f>
        <v>84</v>
      </c>
      <c r="AC38" s="100">
        <f t="shared" ref="AC38" si="83">AB38/$I38</f>
        <v>0.1492007104795737</v>
      </c>
    </row>
    <row r="39" spans="2:29" ht="45" customHeight="1" x14ac:dyDescent="0.25">
      <c r="B39" s="114" t="s">
        <v>153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</row>
  </sheetData>
  <mergeCells count="41">
    <mergeCell ref="B39:AC39"/>
    <mergeCell ref="F6:G6"/>
    <mergeCell ref="D26:E26"/>
    <mergeCell ref="F26:G26"/>
    <mergeCell ref="B23:AC23"/>
    <mergeCell ref="B24:AC24"/>
    <mergeCell ref="C25:G25"/>
    <mergeCell ref="I25:AC25"/>
    <mergeCell ref="B26:B27"/>
    <mergeCell ref="C26:C27"/>
    <mergeCell ref="I26:I27"/>
    <mergeCell ref="B19:AC19"/>
    <mergeCell ref="B22:AC22"/>
    <mergeCell ref="L6:M6"/>
    <mergeCell ref="J6:K6"/>
    <mergeCell ref="J26:K26"/>
    <mergeCell ref="B2:AC2"/>
    <mergeCell ref="B4:AC4"/>
    <mergeCell ref="C5:G5"/>
    <mergeCell ref="I5:AC5"/>
    <mergeCell ref="B6:B7"/>
    <mergeCell ref="C6:C7"/>
    <mergeCell ref="D6:E6"/>
    <mergeCell ref="I6:I7"/>
    <mergeCell ref="AB6:AC6"/>
    <mergeCell ref="Z6:AA6"/>
    <mergeCell ref="X6:Y6"/>
    <mergeCell ref="V6:W6"/>
    <mergeCell ref="T6:U6"/>
    <mergeCell ref="R6:S6"/>
    <mergeCell ref="P6:Q6"/>
    <mergeCell ref="N6:O6"/>
    <mergeCell ref="V26:W26"/>
    <mergeCell ref="X26:Y26"/>
    <mergeCell ref="Z26:AA26"/>
    <mergeCell ref="AB26:AC26"/>
    <mergeCell ref="L26:M26"/>
    <mergeCell ref="N26:O26"/>
    <mergeCell ref="P26:Q26"/>
    <mergeCell ref="R26:S26"/>
    <mergeCell ref="T26:U26"/>
  </mergeCells>
  <pageMargins left="0.7" right="0.7" top="0.75" bottom="0.75" header="0.3" footer="0.3"/>
  <ignoredErrors>
    <ignoredError sqref="E38:F38 K38:AA3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6BDF-47A2-4761-BB63-BF714F6E2701}">
  <dimension ref="B2:AC39"/>
  <sheetViews>
    <sheetView zoomScaleNormal="100" workbookViewId="0"/>
  </sheetViews>
  <sheetFormatPr defaultColWidth="9.140625" defaultRowHeight="15" x14ac:dyDescent="0.25"/>
  <cols>
    <col min="1" max="1" width="9.140625" style="7"/>
    <col min="2" max="2" width="14.28515625" style="7" customWidth="1"/>
    <col min="3" max="3" width="11.42578125" style="7" customWidth="1"/>
    <col min="4" max="5" width="10" style="7" customWidth="1"/>
    <col min="6" max="6" width="1.42578125" style="7" customWidth="1"/>
    <col min="7" max="7" width="10" style="7" customWidth="1"/>
    <col min="8" max="21" width="9.28515625" style="7" customWidth="1"/>
    <col min="22" max="16384" width="9.140625" style="7"/>
  </cols>
  <sheetData>
    <row r="2" spans="2:21" x14ac:dyDescent="0.25">
      <c r="B2" s="102" t="s">
        <v>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</row>
    <row r="4" spans="2:21" ht="33.75" customHeight="1" x14ac:dyDescent="0.25">
      <c r="B4" s="104" t="s">
        <v>145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</row>
    <row r="5" spans="2:21" ht="15" customHeight="1" x14ac:dyDescent="0.25">
      <c r="B5" s="9"/>
      <c r="C5" s="105" t="s">
        <v>125</v>
      </c>
      <c r="D5" s="105"/>
      <c r="E5" s="105"/>
      <c r="F5" s="36"/>
      <c r="G5" s="105" t="s">
        <v>116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</row>
    <row r="6" spans="2:21" ht="48.75" customHeight="1" x14ac:dyDescent="0.25">
      <c r="B6" s="106" t="s">
        <v>0</v>
      </c>
      <c r="C6" s="108" t="s">
        <v>1</v>
      </c>
      <c r="D6" s="110" t="s">
        <v>115</v>
      </c>
      <c r="E6" s="111"/>
      <c r="F6" s="37"/>
      <c r="G6" s="108" t="s">
        <v>95</v>
      </c>
      <c r="H6" s="110" t="s">
        <v>117</v>
      </c>
      <c r="I6" s="111"/>
      <c r="J6" s="112" t="s">
        <v>118</v>
      </c>
      <c r="K6" s="111"/>
      <c r="L6" s="112" t="s">
        <v>119</v>
      </c>
      <c r="M6" s="111"/>
      <c r="N6" s="112" t="s">
        <v>120</v>
      </c>
      <c r="O6" s="111"/>
      <c r="P6" s="112" t="s">
        <v>121</v>
      </c>
      <c r="Q6" s="111"/>
      <c r="R6" s="112" t="s">
        <v>122</v>
      </c>
      <c r="S6" s="111"/>
      <c r="T6" s="112" t="s">
        <v>113</v>
      </c>
      <c r="U6" s="113"/>
    </row>
    <row r="7" spans="2:21" x14ac:dyDescent="0.25">
      <c r="B7" s="107"/>
      <c r="C7" s="109"/>
      <c r="D7" s="27" t="s">
        <v>14</v>
      </c>
      <c r="E7" s="25" t="s">
        <v>15</v>
      </c>
      <c r="F7" s="38"/>
      <c r="G7" s="109"/>
      <c r="H7" s="25" t="s">
        <v>14</v>
      </c>
      <c r="I7" s="25" t="s">
        <v>123</v>
      </c>
      <c r="J7" s="25" t="s">
        <v>14</v>
      </c>
      <c r="K7" s="28" t="s">
        <v>123</v>
      </c>
      <c r="L7" s="25" t="s">
        <v>14</v>
      </c>
      <c r="M7" s="28" t="s">
        <v>123</v>
      </c>
      <c r="N7" s="25" t="s">
        <v>14</v>
      </c>
      <c r="O7" s="28" t="s">
        <v>123</v>
      </c>
      <c r="P7" s="25" t="s">
        <v>14</v>
      </c>
      <c r="Q7" s="28" t="s">
        <v>123</v>
      </c>
      <c r="R7" s="25" t="s">
        <v>14</v>
      </c>
      <c r="S7" s="28" t="s">
        <v>123</v>
      </c>
      <c r="T7" s="25" t="s">
        <v>14</v>
      </c>
      <c r="U7" s="25" t="s">
        <v>123</v>
      </c>
    </row>
    <row r="8" spans="2:21" ht="18.75" customHeight="1" x14ac:dyDescent="0.25">
      <c r="B8" s="8"/>
      <c r="C8" s="10"/>
      <c r="D8" s="22"/>
      <c r="E8" s="44"/>
      <c r="F8" s="39"/>
      <c r="G8" s="41"/>
      <c r="H8" s="18"/>
      <c r="I8" s="79"/>
      <c r="J8" s="81"/>
      <c r="K8" s="5"/>
      <c r="L8" s="81"/>
      <c r="M8" s="5"/>
      <c r="N8" s="81"/>
      <c r="O8" s="5"/>
      <c r="P8" s="81"/>
      <c r="Q8" s="5"/>
      <c r="R8" s="81"/>
      <c r="S8" s="5"/>
      <c r="T8" s="81"/>
      <c r="U8" s="81"/>
    </row>
    <row r="9" spans="2:21" ht="18.75" customHeight="1" x14ac:dyDescent="0.25">
      <c r="B9" s="8"/>
      <c r="C9" s="10"/>
      <c r="D9" s="22"/>
      <c r="E9" s="44"/>
      <c r="F9" s="39"/>
      <c r="G9" s="41"/>
      <c r="H9" s="18"/>
      <c r="I9" s="79"/>
      <c r="J9" s="81"/>
      <c r="K9" s="5"/>
      <c r="L9" s="81"/>
      <c r="M9" s="5"/>
      <c r="N9" s="81"/>
      <c r="O9" s="5"/>
      <c r="P9" s="81"/>
      <c r="Q9" s="5"/>
      <c r="R9" s="81"/>
      <c r="S9" s="5"/>
      <c r="T9" s="81"/>
      <c r="U9" s="81"/>
    </row>
    <row r="10" spans="2:21" ht="18.75" customHeight="1" x14ac:dyDescent="0.25">
      <c r="B10" s="8"/>
      <c r="C10" s="10"/>
      <c r="D10" s="22"/>
      <c r="E10" s="44"/>
      <c r="F10" s="39"/>
      <c r="G10" s="41"/>
      <c r="H10" s="18"/>
      <c r="I10" s="79"/>
      <c r="J10" s="81"/>
      <c r="K10" s="5"/>
      <c r="L10" s="81"/>
      <c r="M10" s="5"/>
      <c r="N10" s="81"/>
      <c r="O10" s="5"/>
      <c r="P10" s="81"/>
      <c r="Q10" s="5"/>
      <c r="R10" s="81"/>
      <c r="S10" s="5"/>
      <c r="T10" s="81"/>
      <c r="U10" s="81"/>
    </row>
    <row r="11" spans="2:21" ht="18.75" customHeight="1" x14ac:dyDescent="0.25">
      <c r="B11" s="8"/>
      <c r="C11" s="10"/>
      <c r="D11" s="22"/>
      <c r="E11" s="44"/>
      <c r="F11" s="39"/>
      <c r="G11" s="41"/>
      <c r="H11" s="18"/>
      <c r="I11" s="79"/>
      <c r="J11" s="81"/>
      <c r="K11" s="5"/>
      <c r="L11" s="81"/>
      <c r="M11" s="5"/>
      <c r="N11" s="81"/>
      <c r="O11" s="5"/>
      <c r="P11" s="81"/>
      <c r="Q11" s="5"/>
      <c r="R11" s="81"/>
      <c r="S11" s="5"/>
      <c r="T11" s="81"/>
      <c r="U11" s="81"/>
    </row>
    <row r="12" spans="2:21" ht="18.75" customHeight="1" x14ac:dyDescent="0.25">
      <c r="B12" s="8"/>
      <c r="C12" s="10"/>
      <c r="D12" s="22"/>
      <c r="E12" s="44"/>
      <c r="F12" s="39"/>
      <c r="G12" s="41"/>
      <c r="H12" s="18"/>
      <c r="I12" s="79"/>
      <c r="J12" s="81"/>
      <c r="K12" s="5"/>
      <c r="L12" s="81"/>
      <c r="M12" s="5"/>
      <c r="N12" s="81"/>
      <c r="O12" s="5"/>
      <c r="P12" s="81"/>
      <c r="Q12" s="5"/>
      <c r="R12" s="81"/>
      <c r="S12" s="5"/>
      <c r="T12" s="81"/>
      <c r="U12" s="81"/>
    </row>
    <row r="13" spans="2:21" ht="18.75" customHeight="1" x14ac:dyDescent="0.25">
      <c r="B13" s="8"/>
      <c r="C13" s="10"/>
      <c r="D13" s="22"/>
      <c r="E13" s="44"/>
      <c r="F13" s="39"/>
      <c r="G13" s="41"/>
      <c r="H13" s="18"/>
      <c r="I13" s="79"/>
      <c r="J13" s="81"/>
      <c r="K13" s="5"/>
      <c r="L13" s="81"/>
      <c r="M13" s="5"/>
      <c r="N13" s="81"/>
      <c r="O13" s="5"/>
      <c r="P13" s="81"/>
      <c r="Q13" s="5"/>
      <c r="R13" s="81"/>
      <c r="S13" s="5"/>
      <c r="T13" s="81"/>
      <c r="U13" s="81"/>
    </row>
    <row r="14" spans="2:21" ht="18.75" customHeight="1" x14ac:dyDescent="0.25">
      <c r="B14" s="8"/>
      <c r="C14" s="10"/>
      <c r="D14" s="22"/>
      <c r="E14" s="44"/>
      <c r="F14" s="39"/>
      <c r="G14" s="41"/>
      <c r="H14" s="18"/>
      <c r="I14" s="79"/>
      <c r="J14" s="81"/>
      <c r="K14" s="5"/>
      <c r="L14" s="81"/>
      <c r="M14" s="5"/>
      <c r="N14" s="81"/>
      <c r="O14" s="5"/>
      <c r="P14" s="81"/>
      <c r="Q14" s="5"/>
      <c r="R14" s="81"/>
      <c r="S14" s="5"/>
      <c r="T14" s="81"/>
      <c r="U14" s="81"/>
    </row>
    <row r="15" spans="2:21" ht="18.75" customHeight="1" x14ac:dyDescent="0.25">
      <c r="B15" s="8"/>
      <c r="C15" s="10"/>
      <c r="D15" s="22"/>
      <c r="E15" s="44"/>
      <c r="F15" s="39"/>
      <c r="G15" s="41"/>
      <c r="H15" s="18"/>
      <c r="I15" s="79"/>
      <c r="J15" s="81"/>
      <c r="K15" s="5"/>
      <c r="L15" s="81"/>
      <c r="M15" s="5"/>
      <c r="N15" s="81"/>
      <c r="O15" s="5"/>
      <c r="P15" s="81"/>
      <c r="Q15" s="5"/>
      <c r="R15" s="81"/>
      <c r="S15" s="5"/>
      <c r="T15" s="81"/>
      <c r="U15" s="81"/>
    </row>
    <row r="16" spans="2:21" ht="18.75" customHeight="1" x14ac:dyDescent="0.25">
      <c r="B16" s="8"/>
      <c r="C16" s="10"/>
      <c r="D16" s="22"/>
      <c r="E16" s="44"/>
      <c r="F16" s="39"/>
      <c r="G16" s="41"/>
      <c r="H16" s="18"/>
      <c r="I16" s="79"/>
      <c r="J16" s="81"/>
      <c r="K16" s="5"/>
      <c r="L16" s="81"/>
      <c r="M16" s="5"/>
      <c r="N16" s="81"/>
      <c r="O16" s="5"/>
      <c r="P16" s="81"/>
      <c r="Q16" s="5"/>
      <c r="R16" s="81"/>
      <c r="S16" s="5"/>
      <c r="T16" s="81"/>
      <c r="U16" s="81"/>
    </row>
    <row r="17" spans="2:29" ht="18.75" customHeight="1" x14ac:dyDescent="0.25">
      <c r="B17" s="8"/>
      <c r="C17" s="10"/>
      <c r="D17" s="22"/>
      <c r="E17" s="44"/>
      <c r="F17" s="39"/>
      <c r="G17" s="41"/>
      <c r="H17" s="18"/>
      <c r="I17" s="79"/>
      <c r="J17" s="81"/>
      <c r="K17" s="5"/>
      <c r="L17" s="81"/>
      <c r="M17" s="5"/>
      <c r="N17" s="81"/>
      <c r="O17" s="5"/>
      <c r="P17" s="81"/>
      <c r="Q17" s="5"/>
      <c r="R17" s="81"/>
      <c r="S17" s="5"/>
      <c r="T17" s="81"/>
      <c r="U17" s="81"/>
    </row>
    <row r="18" spans="2:29" ht="18.75" customHeight="1" x14ac:dyDescent="0.25">
      <c r="B18" s="14" t="s">
        <v>13</v>
      </c>
      <c r="C18" s="24"/>
      <c r="D18" s="21"/>
      <c r="E18" s="45"/>
      <c r="F18" s="40"/>
      <c r="G18" s="42"/>
      <c r="H18" s="19"/>
      <c r="I18" s="80"/>
      <c r="J18" s="82"/>
      <c r="K18" s="83"/>
      <c r="L18" s="82"/>
      <c r="M18" s="83"/>
      <c r="N18" s="82"/>
      <c r="O18" s="83"/>
      <c r="P18" s="82"/>
      <c r="Q18" s="83"/>
      <c r="R18" s="82"/>
      <c r="S18" s="83"/>
      <c r="T18" s="82"/>
      <c r="U18" s="82"/>
    </row>
    <row r="19" spans="2:29" ht="45" customHeight="1" x14ac:dyDescent="0.25">
      <c r="B19" s="114" t="s">
        <v>154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</row>
    <row r="20" spans="2:29" ht="18.75" customHeight="1" x14ac:dyDescent="0.25"/>
    <row r="21" spans="2:29" ht="18.75" customHeight="1" x14ac:dyDescent="0.25"/>
    <row r="22" spans="2:29" x14ac:dyDescent="0.25">
      <c r="B22" s="102" t="s">
        <v>12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</row>
    <row r="23" spans="2:29" x14ac:dyDescent="0.25"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</row>
    <row r="24" spans="2:29" ht="33.75" customHeight="1" x14ac:dyDescent="0.25">
      <c r="B24" s="104" t="s">
        <v>146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</row>
    <row r="25" spans="2:29" ht="15" customHeight="1" x14ac:dyDescent="0.25">
      <c r="B25" s="9"/>
      <c r="C25" s="105" t="s">
        <v>125</v>
      </c>
      <c r="D25" s="105"/>
      <c r="E25" s="105"/>
      <c r="F25" s="36"/>
      <c r="G25" s="105" t="s">
        <v>116</v>
      </c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</row>
    <row r="26" spans="2:29" ht="48.75" customHeight="1" x14ac:dyDescent="0.25">
      <c r="B26" s="106" t="s">
        <v>0</v>
      </c>
      <c r="C26" s="108" t="s">
        <v>1</v>
      </c>
      <c r="D26" s="110" t="s">
        <v>115</v>
      </c>
      <c r="E26" s="111"/>
      <c r="F26" s="37"/>
      <c r="G26" s="108" t="s">
        <v>95</v>
      </c>
      <c r="H26" s="110" t="s">
        <v>117</v>
      </c>
      <c r="I26" s="111"/>
      <c r="J26" s="112" t="s">
        <v>118</v>
      </c>
      <c r="K26" s="111"/>
      <c r="L26" s="112" t="s">
        <v>119</v>
      </c>
      <c r="M26" s="111"/>
      <c r="N26" s="112" t="s">
        <v>120</v>
      </c>
      <c r="O26" s="111"/>
      <c r="P26" s="112" t="s">
        <v>121</v>
      </c>
      <c r="Q26" s="111"/>
      <c r="R26" s="112" t="s">
        <v>122</v>
      </c>
      <c r="S26" s="111"/>
      <c r="T26" s="112" t="s">
        <v>113</v>
      </c>
      <c r="U26" s="113"/>
      <c r="W26" s="71"/>
      <c r="X26" s="71"/>
      <c r="Y26" s="71"/>
      <c r="Z26" s="71"/>
      <c r="AA26" s="71"/>
      <c r="AB26" s="71"/>
      <c r="AC26" s="71"/>
    </row>
    <row r="27" spans="2:29" x14ac:dyDescent="0.25">
      <c r="B27" s="107"/>
      <c r="C27" s="109"/>
      <c r="D27" s="27" t="s">
        <v>14</v>
      </c>
      <c r="E27" s="25" t="s">
        <v>15</v>
      </c>
      <c r="F27" s="38"/>
      <c r="G27" s="109"/>
      <c r="H27" s="25" t="s">
        <v>14</v>
      </c>
      <c r="I27" s="25" t="s">
        <v>123</v>
      </c>
      <c r="J27" s="25" t="s">
        <v>14</v>
      </c>
      <c r="K27" s="28" t="s">
        <v>123</v>
      </c>
      <c r="L27" s="25" t="s">
        <v>14</v>
      </c>
      <c r="M27" s="28" t="s">
        <v>123</v>
      </c>
      <c r="N27" s="25" t="s">
        <v>14</v>
      </c>
      <c r="O27" s="28" t="s">
        <v>123</v>
      </c>
      <c r="P27" s="25" t="s">
        <v>14</v>
      </c>
      <c r="Q27" s="28" t="s">
        <v>123</v>
      </c>
      <c r="R27" s="25" t="s">
        <v>14</v>
      </c>
      <c r="S27" s="28" t="s">
        <v>123</v>
      </c>
      <c r="T27" s="25" t="s">
        <v>14</v>
      </c>
      <c r="U27" s="25" t="s">
        <v>123</v>
      </c>
      <c r="W27" s="70"/>
      <c r="X27" s="71"/>
      <c r="Y27" s="71"/>
      <c r="Z27" s="71"/>
      <c r="AA27" s="71"/>
      <c r="AB27" s="71"/>
      <c r="AC27" s="71"/>
    </row>
    <row r="28" spans="2:29" ht="18.75" customHeight="1" x14ac:dyDescent="0.25">
      <c r="B28" s="8" t="s">
        <v>2</v>
      </c>
      <c r="C28" s="73">
        <v>60</v>
      </c>
      <c r="D28" s="74">
        <v>58</v>
      </c>
      <c r="E28" s="46">
        <f>D28/$C28</f>
        <v>0.96666666666666667</v>
      </c>
      <c r="F28" s="39"/>
      <c r="G28" s="76">
        <v>58</v>
      </c>
      <c r="H28" s="84">
        <v>51</v>
      </c>
      <c r="I28" s="46">
        <f>H28/$G28</f>
        <v>0.87931034482758619</v>
      </c>
      <c r="J28" s="85">
        <v>13</v>
      </c>
      <c r="K28" s="17">
        <f>J28/$G28</f>
        <v>0.22413793103448276</v>
      </c>
      <c r="L28" s="85">
        <v>38</v>
      </c>
      <c r="M28" s="17">
        <f>L28/$G28</f>
        <v>0.65517241379310343</v>
      </c>
      <c r="N28" s="85">
        <v>52</v>
      </c>
      <c r="O28" s="17">
        <f>N28/$G28</f>
        <v>0.89655172413793105</v>
      </c>
      <c r="P28" s="85">
        <v>54</v>
      </c>
      <c r="Q28" s="17">
        <f>P28/$G28</f>
        <v>0.93103448275862066</v>
      </c>
      <c r="R28" s="85">
        <v>25</v>
      </c>
      <c r="S28" s="17">
        <f>R28/$G28</f>
        <v>0.43103448275862066</v>
      </c>
      <c r="T28" s="85">
        <v>14</v>
      </c>
      <c r="U28" s="23">
        <f>T28/$G28</f>
        <v>0.2413793103448276</v>
      </c>
    </row>
    <row r="29" spans="2:29" ht="18.75" customHeight="1" x14ac:dyDescent="0.25">
      <c r="B29" s="8" t="s">
        <v>3</v>
      </c>
      <c r="C29" s="73">
        <v>60</v>
      </c>
      <c r="D29" s="74">
        <v>59</v>
      </c>
      <c r="E29" s="46">
        <f t="shared" ref="E29:E38" si="0">D29/$C29</f>
        <v>0.98333333333333328</v>
      </c>
      <c r="F29" s="39"/>
      <c r="G29" s="49">
        <v>59</v>
      </c>
      <c r="H29" s="85">
        <v>53</v>
      </c>
      <c r="I29" s="17">
        <f t="shared" ref="I29:K38" si="1">H29/$G29</f>
        <v>0.89830508474576276</v>
      </c>
      <c r="J29" s="85">
        <v>14</v>
      </c>
      <c r="K29" s="17">
        <f t="shared" si="1"/>
        <v>0.23728813559322035</v>
      </c>
      <c r="L29" s="85">
        <v>50</v>
      </c>
      <c r="M29" s="17">
        <f t="shared" ref="M29" si="2">L29/$G29</f>
        <v>0.84745762711864403</v>
      </c>
      <c r="N29" s="85">
        <v>54</v>
      </c>
      <c r="O29" s="17">
        <f t="shared" ref="O29" si="3">N29/$G29</f>
        <v>0.9152542372881356</v>
      </c>
      <c r="P29" s="85">
        <v>54</v>
      </c>
      <c r="Q29" s="17">
        <f t="shared" ref="Q29" si="4">P29/$G29</f>
        <v>0.9152542372881356</v>
      </c>
      <c r="R29" s="85">
        <v>12</v>
      </c>
      <c r="S29" s="17">
        <f t="shared" ref="S29" si="5">R29/$G29</f>
        <v>0.20338983050847459</v>
      </c>
      <c r="T29" s="85">
        <v>26</v>
      </c>
      <c r="U29" s="20">
        <f t="shared" ref="U29" si="6">T29/$G29</f>
        <v>0.44067796610169491</v>
      </c>
    </row>
    <row r="30" spans="2:29" ht="18.75" customHeight="1" x14ac:dyDescent="0.25">
      <c r="B30" s="8" t="s">
        <v>4</v>
      </c>
      <c r="C30" s="73">
        <v>60</v>
      </c>
      <c r="D30" s="74">
        <v>57</v>
      </c>
      <c r="E30" s="46">
        <f t="shared" si="0"/>
        <v>0.95</v>
      </c>
      <c r="F30" s="39"/>
      <c r="G30" s="49">
        <v>57</v>
      </c>
      <c r="H30" s="85">
        <v>51</v>
      </c>
      <c r="I30" s="17">
        <f t="shared" si="1"/>
        <v>0.89473684210526316</v>
      </c>
      <c r="J30" s="85">
        <v>22</v>
      </c>
      <c r="K30" s="17">
        <f t="shared" si="1"/>
        <v>0.38596491228070173</v>
      </c>
      <c r="L30" s="85">
        <v>40</v>
      </c>
      <c r="M30" s="17">
        <f t="shared" ref="M30" si="7">L30/$G30</f>
        <v>0.70175438596491224</v>
      </c>
      <c r="N30" s="85">
        <v>54</v>
      </c>
      <c r="O30" s="17">
        <f t="shared" ref="O30" si="8">N30/$G30</f>
        <v>0.94736842105263153</v>
      </c>
      <c r="P30" s="85">
        <v>52</v>
      </c>
      <c r="Q30" s="17">
        <f t="shared" ref="Q30" si="9">P30/$G30</f>
        <v>0.91228070175438591</v>
      </c>
      <c r="R30" s="85">
        <v>13</v>
      </c>
      <c r="S30" s="17">
        <f t="shared" ref="S30" si="10">R30/$G30</f>
        <v>0.22807017543859648</v>
      </c>
      <c r="T30" s="85">
        <v>22</v>
      </c>
      <c r="U30" s="20">
        <f t="shared" ref="U30" si="11">T30/$G30</f>
        <v>0.38596491228070173</v>
      </c>
    </row>
    <row r="31" spans="2:29" ht="18.75" customHeight="1" x14ac:dyDescent="0.25">
      <c r="B31" s="8" t="s">
        <v>5</v>
      </c>
      <c r="C31" s="73">
        <v>60</v>
      </c>
      <c r="D31" s="74">
        <v>55</v>
      </c>
      <c r="E31" s="46">
        <f t="shared" si="0"/>
        <v>0.91666666666666663</v>
      </c>
      <c r="F31" s="39"/>
      <c r="G31" s="49">
        <v>55</v>
      </c>
      <c r="H31" s="85">
        <v>48</v>
      </c>
      <c r="I31" s="17">
        <f t="shared" si="1"/>
        <v>0.87272727272727268</v>
      </c>
      <c r="J31" s="85">
        <v>24</v>
      </c>
      <c r="K31" s="17">
        <f t="shared" si="1"/>
        <v>0.43636363636363634</v>
      </c>
      <c r="L31" s="85">
        <v>38</v>
      </c>
      <c r="M31" s="17">
        <f t="shared" ref="M31" si="12">L31/$G31</f>
        <v>0.69090909090909092</v>
      </c>
      <c r="N31" s="85">
        <v>47</v>
      </c>
      <c r="O31" s="17">
        <f t="shared" ref="O31" si="13">N31/$G31</f>
        <v>0.8545454545454545</v>
      </c>
      <c r="P31" s="85">
        <v>52</v>
      </c>
      <c r="Q31" s="17">
        <f t="shared" ref="Q31" si="14">P31/$G31</f>
        <v>0.94545454545454544</v>
      </c>
      <c r="R31" s="85">
        <v>10</v>
      </c>
      <c r="S31" s="17">
        <f t="shared" ref="S31" si="15">R31/$G31</f>
        <v>0.18181818181818182</v>
      </c>
      <c r="T31" s="85">
        <v>21</v>
      </c>
      <c r="U31" s="20">
        <f t="shared" ref="U31" si="16">T31/$G31</f>
        <v>0.38181818181818183</v>
      </c>
    </row>
    <row r="32" spans="2:29" ht="18.75" customHeight="1" x14ac:dyDescent="0.25">
      <c r="B32" s="8" t="s">
        <v>6</v>
      </c>
      <c r="C32" s="73">
        <v>60</v>
      </c>
      <c r="D32" s="74">
        <v>53</v>
      </c>
      <c r="E32" s="46">
        <f t="shared" si="0"/>
        <v>0.8833333333333333</v>
      </c>
      <c r="F32" s="39"/>
      <c r="G32" s="49">
        <v>53</v>
      </c>
      <c r="H32" s="85">
        <v>50</v>
      </c>
      <c r="I32" s="17">
        <f t="shared" si="1"/>
        <v>0.94339622641509435</v>
      </c>
      <c r="J32" s="85">
        <v>11</v>
      </c>
      <c r="K32" s="17">
        <f t="shared" si="1"/>
        <v>0.20754716981132076</v>
      </c>
      <c r="L32" s="85">
        <v>47</v>
      </c>
      <c r="M32" s="17">
        <f t="shared" ref="M32" si="17">L32/$G32</f>
        <v>0.8867924528301887</v>
      </c>
      <c r="N32" s="85">
        <v>47</v>
      </c>
      <c r="O32" s="17">
        <f t="shared" ref="O32" si="18">N32/$G32</f>
        <v>0.8867924528301887</v>
      </c>
      <c r="P32" s="85">
        <v>47</v>
      </c>
      <c r="Q32" s="17">
        <f t="shared" ref="Q32" si="19">P32/$G32</f>
        <v>0.8867924528301887</v>
      </c>
      <c r="R32" s="85">
        <v>8</v>
      </c>
      <c r="S32" s="17">
        <f t="shared" ref="S32" si="20">R32/$G32</f>
        <v>0.15094339622641509</v>
      </c>
      <c r="T32" s="85">
        <v>19</v>
      </c>
      <c r="U32" s="20">
        <f t="shared" ref="U32" si="21">T32/$G32</f>
        <v>0.35849056603773582</v>
      </c>
    </row>
    <row r="33" spans="2:21" ht="18.75" customHeight="1" x14ac:dyDescent="0.25">
      <c r="B33" s="8" t="s">
        <v>7</v>
      </c>
      <c r="C33" s="73">
        <v>60</v>
      </c>
      <c r="D33" s="74">
        <v>45</v>
      </c>
      <c r="E33" s="46">
        <f t="shared" si="0"/>
        <v>0.75</v>
      </c>
      <c r="F33" s="39"/>
      <c r="G33" s="49">
        <v>45</v>
      </c>
      <c r="H33" s="85">
        <v>41</v>
      </c>
      <c r="I33" s="17">
        <f t="shared" si="1"/>
        <v>0.91111111111111109</v>
      </c>
      <c r="J33" s="85">
        <v>15</v>
      </c>
      <c r="K33" s="17">
        <f t="shared" si="1"/>
        <v>0.33333333333333331</v>
      </c>
      <c r="L33" s="85">
        <v>33</v>
      </c>
      <c r="M33" s="17">
        <f t="shared" ref="M33" si="22">L33/$G33</f>
        <v>0.73333333333333328</v>
      </c>
      <c r="N33" s="85">
        <v>41</v>
      </c>
      <c r="O33" s="17">
        <f t="shared" ref="O33" si="23">N33/$G33</f>
        <v>0.91111111111111109</v>
      </c>
      <c r="P33" s="85">
        <v>40</v>
      </c>
      <c r="Q33" s="17">
        <f t="shared" ref="Q33" si="24">P33/$G33</f>
        <v>0.88888888888888884</v>
      </c>
      <c r="R33" s="85">
        <v>7</v>
      </c>
      <c r="S33" s="17">
        <f t="shared" ref="S33" si="25">R33/$G33</f>
        <v>0.15555555555555556</v>
      </c>
      <c r="T33" s="85">
        <v>18</v>
      </c>
      <c r="U33" s="20">
        <f t="shared" ref="U33" si="26">T33/$G33</f>
        <v>0.4</v>
      </c>
    </row>
    <row r="34" spans="2:21" ht="18.75" customHeight="1" x14ac:dyDescent="0.25">
      <c r="B34" s="8" t="s">
        <v>8</v>
      </c>
      <c r="C34" s="73">
        <v>60</v>
      </c>
      <c r="D34" s="74">
        <v>53</v>
      </c>
      <c r="E34" s="46">
        <f t="shared" si="0"/>
        <v>0.8833333333333333</v>
      </c>
      <c r="F34" s="39"/>
      <c r="G34" s="49">
        <v>53</v>
      </c>
      <c r="H34" s="84">
        <v>48</v>
      </c>
      <c r="I34" s="46">
        <f t="shared" si="1"/>
        <v>0.90566037735849059</v>
      </c>
      <c r="J34" s="85">
        <v>17</v>
      </c>
      <c r="K34" s="17">
        <f t="shared" si="1"/>
        <v>0.32075471698113206</v>
      </c>
      <c r="L34" s="85">
        <v>41</v>
      </c>
      <c r="M34" s="17">
        <f t="shared" ref="M34" si="27">L34/$G34</f>
        <v>0.77358490566037741</v>
      </c>
      <c r="N34" s="85">
        <v>47</v>
      </c>
      <c r="O34" s="17">
        <f t="shared" ref="O34" si="28">N34/$G34</f>
        <v>0.8867924528301887</v>
      </c>
      <c r="P34" s="85">
        <v>47</v>
      </c>
      <c r="Q34" s="17">
        <f t="shared" ref="Q34" si="29">P34/$G34</f>
        <v>0.8867924528301887</v>
      </c>
      <c r="R34" s="85">
        <v>16</v>
      </c>
      <c r="S34" s="17">
        <f t="shared" ref="S34" si="30">R34/$G34</f>
        <v>0.30188679245283018</v>
      </c>
      <c r="T34" s="85">
        <v>15</v>
      </c>
      <c r="U34" s="20">
        <f t="shared" ref="U34" si="31">T34/$G34</f>
        <v>0.28301886792452829</v>
      </c>
    </row>
    <row r="35" spans="2:21" ht="18.75" customHeight="1" x14ac:dyDescent="0.25">
      <c r="B35" s="8" t="s">
        <v>9</v>
      </c>
      <c r="C35" s="73">
        <v>60</v>
      </c>
      <c r="D35" s="74">
        <v>57</v>
      </c>
      <c r="E35" s="46">
        <f t="shared" si="0"/>
        <v>0.95</v>
      </c>
      <c r="F35" s="39"/>
      <c r="G35" s="49">
        <v>57</v>
      </c>
      <c r="H35" s="84">
        <v>51</v>
      </c>
      <c r="I35" s="46">
        <f t="shared" si="1"/>
        <v>0.89473684210526316</v>
      </c>
      <c r="J35" s="85">
        <v>19</v>
      </c>
      <c r="K35" s="17">
        <f t="shared" si="1"/>
        <v>0.33333333333333331</v>
      </c>
      <c r="L35" s="85">
        <v>48</v>
      </c>
      <c r="M35" s="17">
        <f t="shared" ref="M35" si="32">L35/$G35</f>
        <v>0.84210526315789469</v>
      </c>
      <c r="N35" s="85">
        <v>52</v>
      </c>
      <c r="O35" s="17">
        <f t="shared" ref="O35" si="33">N35/$G35</f>
        <v>0.91228070175438591</v>
      </c>
      <c r="P35" s="85">
        <v>52</v>
      </c>
      <c r="Q35" s="17">
        <f t="shared" ref="Q35" si="34">P35/$G35</f>
        <v>0.91228070175438591</v>
      </c>
      <c r="R35" s="85">
        <v>11</v>
      </c>
      <c r="S35" s="17">
        <f t="shared" ref="S35" si="35">R35/$G35</f>
        <v>0.19298245614035087</v>
      </c>
      <c r="T35" s="85">
        <v>22</v>
      </c>
      <c r="U35" s="20">
        <f t="shared" ref="U35" si="36">T35/$G35</f>
        <v>0.38596491228070173</v>
      </c>
    </row>
    <row r="36" spans="2:21" ht="18.75" customHeight="1" x14ac:dyDescent="0.25">
      <c r="B36" s="8" t="s">
        <v>10</v>
      </c>
      <c r="C36" s="73">
        <v>60</v>
      </c>
      <c r="D36" s="74">
        <v>59</v>
      </c>
      <c r="E36" s="46">
        <f t="shared" si="0"/>
        <v>0.98333333333333328</v>
      </c>
      <c r="F36" s="39"/>
      <c r="G36" s="49">
        <v>59</v>
      </c>
      <c r="H36" s="84">
        <v>52</v>
      </c>
      <c r="I36" s="46">
        <f t="shared" si="1"/>
        <v>0.88135593220338981</v>
      </c>
      <c r="J36" s="85">
        <v>11</v>
      </c>
      <c r="K36" s="17">
        <f t="shared" si="1"/>
        <v>0.1864406779661017</v>
      </c>
      <c r="L36" s="85">
        <v>41</v>
      </c>
      <c r="M36" s="17">
        <f t="shared" ref="M36" si="37">L36/$G36</f>
        <v>0.69491525423728817</v>
      </c>
      <c r="N36" s="85">
        <v>54</v>
      </c>
      <c r="O36" s="17">
        <f t="shared" ref="O36" si="38">N36/$G36</f>
        <v>0.9152542372881356</v>
      </c>
      <c r="P36" s="85">
        <v>56</v>
      </c>
      <c r="Q36" s="17">
        <f t="shared" ref="Q36" si="39">P36/$G36</f>
        <v>0.94915254237288138</v>
      </c>
      <c r="R36" s="85">
        <v>21</v>
      </c>
      <c r="S36" s="17">
        <f t="shared" ref="S36" si="40">R36/$G36</f>
        <v>0.3559322033898305</v>
      </c>
      <c r="T36" s="85">
        <v>22</v>
      </c>
      <c r="U36" s="20">
        <f t="shared" ref="U36" si="41">T36/$G36</f>
        <v>0.3728813559322034</v>
      </c>
    </row>
    <row r="37" spans="2:21" ht="18.75" customHeight="1" x14ac:dyDescent="0.25">
      <c r="B37" s="8" t="s">
        <v>11</v>
      </c>
      <c r="C37" s="73">
        <v>60</v>
      </c>
      <c r="D37" s="74">
        <v>55</v>
      </c>
      <c r="E37" s="46">
        <f t="shared" si="0"/>
        <v>0.91666666666666663</v>
      </c>
      <c r="F37" s="39"/>
      <c r="G37" s="49">
        <v>55</v>
      </c>
      <c r="H37" s="84">
        <v>52</v>
      </c>
      <c r="I37" s="46">
        <f t="shared" si="1"/>
        <v>0.94545454545454544</v>
      </c>
      <c r="J37" s="85">
        <v>17</v>
      </c>
      <c r="K37" s="17">
        <f t="shared" si="1"/>
        <v>0.30909090909090908</v>
      </c>
      <c r="L37" s="85">
        <v>36</v>
      </c>
      <c r="M37" s="17">
        <f t="shared" ref="M37" si="42">L37/$G37</f>
        <v>0.65454545454545454</v>
      </c>
      <c r="N37" s="85">
        <v>49</v>
      </c>
      <c r="O37" s="17">
        <f t="shared" ref="O37" si="43">N37/$G37</f>
        <v>0.89090909090909087</v>
      </c>
      <c r="P37" s="85">
        <v>48</v>
      </c>
      <c r="Q37" s="17">
        <f t="shared" ref="Q37" si="44">P37/$G37</f>
        <v>0.87272727272727268</v>
      </c>
      <c r="R37" s="85">
        <v>12</v>
      </c>
      <c r="S37" s="17">
        <f t="shared" ref="S37" si="45">R37/$G37</f>
        <v>0.21818181818181817</v>
      </c>
      <c r="T37" s="85">
        <v>13</v>
      </c>
      <c r="U37" s="20">
        <f t="shared" ref="U37" si="46">T37/$G37</f>
        <v>0.23636363636363636</v>
      </c>
    </row>
    <row r="38" spans="2:21" ht="18.75" customHeight="1" x14ac:dyDescent="0.25">
      <c r="B38" s="14" t="s">
        <v>13</v>
      </c>
      <c r="C38" s="64">
        <v>600</v>
      </c>
      <c r="D38" s="72">
        <v>551</v>
      </c>
      <c r="E38" s="53">
        <f t="shared" si="0"/>
        <v>0.91833333333333333</v>
      </c>
      <c r="F38" s="54"/>
      <c r="G38" s="55">
        <v>551</v>
      </c>
      <c r="H38" s="86">
        <v>498.1040000000001</v>
      </c>
      <c r="I38" s="77">
        <f t="shared" si="1"/>
        <v>0.90400000000000014</v>
      </c>
      <c r="J38" s="87">
        <f>SUM(J28:J37)</f>
        <v>163</v>
      </c>
      <c r="K38" s="53">
        <f t="shared" si="1"/>
        <v>0.29582577132486387</v>
      </c>
      <c r="L38" s="87">
        <f>SUM(L28:L37)</f>
        <v>412</v>
      </c>
      <c r="M38" s="53">
        <f t="shared" ref="M38" si="47">L38/$G38</f>
        <v>0.74773139745916517</v>
      </c>
      <c r="N38" s="87">
        <f>SUM(N28:N37)</f>
        <v>497</v>
      </c>
      <c r="O38" s="53">
        <f t="shared" ref="O38" si="48">N38/$G38</f>
        <v>0.90199637023593471</v>
      </c>
      <c r="P38" s="87">
        <f>SUM(P28:P37)</f>
        <v>502</v>
      </c>
      <c r="Q38" s="53">
        <f t="shared" ref="Q38" si="49">P38/$G38</f>
        <v>0.91107078039927403</v>
      </c>
      <c r="R38" s="87">
        <f>SUM(R28:R37)</f>
        <v>135</v>
      </c>
      <c r="S38" s="53">
        <f>R38/$G38</f>
        <v>0.24500907441016334</v>
      </c>
      <c r="T38" s="87">
        <f>SUM(T28:T37)</f>
        <v>192</v>
      </c>
      <c r="U38" s="58">
        <f t="shared" ref="U38" si="50">T38/$G38</f>
        <v>0.34845735027223229</v>
      </c>
    </row>
    <row r="39" spans="2:21" ht="45" customHeight="1" x14ac:dyDescent="0.25">
      <c r="B39" s="114" t="s">
        <v>154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</row>
  </sheetData>
  <mergeCells count="33">
    <mergeCell ref="T26:U26"/>
    <mergeCell ref="R6:S6"/>
    <mergeCell ref="B39:U39"/>
    <mergeCell ref="B19:U19"/>
    <mergeCell ref="B22:U22"/>
    <mergeCell ref="B23:U23"/>
    <mergeCell ref="B24:U24"/>
    <mergeCell ref="C25:E25"/>
    <mergeCell ref="G25:U25"/>
    <mergeCell ref="B26:B27"/>
    <mergeCell ref="C26:C27"/>
    <mergeCell ref="D26:E26"/>
    <mergeCell ref="G26:G27"/>
    <mergeCell ref="H26:I26"/>
    <mergeCell ref="J26:K26"/>
    <mergeCell ref="N26:O26"/>
    <mergeCell ref="R26:S26"/>
    <mergeCell ref="L26:M26"/>
    <mergeCell ref="P6:Q6"/>
    <mergeCell ref="P26:Q26"/>
    <mergeCell ref="T6:U6"/>
    <mergeCell ref="B2:U2"/>
    <mergeCell ref="B4:U4"/>
    <mergeCell ref="C5:E5"/>
    <mergeCell ref="G5:U5"/>
    <mergeCell ref="B6:B7"/>
    <mergeCell ref="C6:C7"/>
    <mergeCell ref="D6:E6"/>
    <mergeCell ref="G6:G7"/>
    <mergeCell ref="H6:I6"/>
    <mergeCell ref="J6:K6"/>
    <mergeCell ref="L6:M6"/>
    <mergeCell ref="N6:O6"/>
  </mergeCells>
  <pageMargins left="0.7" right="0.7" top="0.75" bottom="0.75" header="0.3" footer="0.3"/>
  <ignoredErrors>
    <ignoredError sqref="T38 R38 P38 N38 L38 J38:K38 M38 O38 Q38 S3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BFF1-51BC-4FA2-81A8-22EF93450FFD}">
  <dimension ref="B2:T24"/>
  <sheetViews>
    <sheetView zoomScaleNormal="100" workbookViewId="0"/>
  </sheetViews>
  <sheetFormatPr defaultColWidth="9.140625" defaultRowHeight="15" x14ac:dyDescent="0.25"/>
  <cols>
    <col min="1" max="1" width="9.140625" style="30"/>
    <col min="2" max="2" width="13.5703125" style="30" customWidth="1"/>
    <col min="3" max="3" width="17.42578125" style="30" customWidth="1"/>
    <col min="4" max="4" width="16.7109375" style="30" customWidth="1"/>
    <col min="5" max="5" width="2.85546875" style="30" customWidth="1"/>
    <col min="6" max="6" width="10.42578125" style="30" customWidth="1"/>
    <col min="7" max="7" width="10.7109375" style="30" customWidth="1"/>
    <col min="8" max="8" width="10.5703125" style="30" customWidth="1"/>
    <col min="9" max="11" width="9.140625" style="30"/>
    <col min="12" max="12" width="13.5703125" style="30" customWidth="1"/>
    <col min="13" max="13" width="17.42578125" style="30" customWidth="1"/>
    <col min="14" max="14" width="16.7109375" style="30" customWidth="1"/>
    <col min="15" max="15" width="2.85546875" style="30" customWidth="1"/>
    <col min="16" max="16" width="10.42578125" style="30" customWidth="1"/>
    <col min="17" max="17" width="10.7109375" style="30" customWidth="1"/>
    <col min="18" max="18" width="10.5703125" style="30" customWidth="1"/>
    <col min="19" max="16384" width="9.140625" style="30"/>
  </cols>
  <sheetData>
    <row r="2" spans="2:20" ht="15" customHeight="1" x14ac:dyDescent="0.25">
      <c r="B2" s="102" t="s">
        <v>16</v>
      </c>
      <c r="C2" s="102"/>
      <c r="D2" s="102"/>
      <c r="E2" s="102"/>
      <c r="F2" s="102"/>
      <c r="G2" s="102"/>
      <c r="H2" s="102"/>
      <c r="I2" s="102"/>
      <c r="J2" s="102"/>
      <c r="L2" s="102" t="s">
        <v>12</v>
      </c>
      <c r="M2" s="102"/>
      <c r="N2" s="102"/>
      <c r="O2" s="102"/>
      <c r="P2" s="102"/>
      <c r="Q2" s="102"/>
      <c r="R2" s="102"/>
      <c r="S2" s="102"/>
      <c r="T2" s="102"/>
    </row>
    <row r="4" spans="2:20" ht="33.75" customHeight="1" x14ac:dyDescent="0.25">
      <c r="B4" s="104" t="s">
        <v>149</v>
      </c>
      <c r="C4" s="104"/>
      <c r="D4" s="104"/>
      <c r="E4" s="104"/>
      <c r="F4" s="104"/>
      <c r="G4" s="104"/>
      <c r="H4" s="104"/>
      <c r="I4" s="104"/>
      <c r="J4" s="104"/>
      <c r="L4" s="104" t="s">
        <v>149</v>
      </c>
      <c r="M4" s="104"/>
      <c r="N4" s="104"/>
      <c r="O4" s="104"/>
      <c r="P4" s="104"/>
      <c r="Q4" s="104"/>
      <c r="R4" s="104"/>
      <c r="S4" s="104"/>
      <c r="T4" s="104"/>
    </row>
    <row r="5" spans="2:20" x14ac:dyDescent="0.25">
      <c r="B5" s="115" t="s">
        <v>19</v>
      </c>
      <c r="C5" s="115"/>
      <c r="D5" s="115"/>
      <c r="E5" s="31"/>
      <c r="F5" s="115" t="s">
        <v>20</v>
      </c>
      <c r="G5" s="116"/>
      <c r="H5" s="116"/>
      <c r="I5" s="116"/>
      <c r="J5" s="116"/>
      <c r="L5" s="115" t="s">
        <v>19</v>
      </c>
      <c r="M5" s="115"/>
      <c r="N5" s="115"/>
      <c r="O5" s="31"/>
      <c r="P5" s="115" t="s">
        <v>20</v>
      </c>
      <c r="Q5" s="116"/>
      <c r="R5" s="116"/>
      <c r="S5" s="116"/>
      <c r="T5" s="116"/>
    </row>
    <row r="6" spans="2:20" ht="60" x14ac:dyDescent="0.25">
      <c r="B6" s="1" t="s">
        <v>18</v>
      </c>
      <c r="C6" s="2" t="s">
        <v>21</v>
      </c>
      <c r="D6" s="3" t="s">
        <v>17</v>
      </c>
      <c r="F6" s="29" t="s">
        <v>22</v>
      </c>
      <c r="G6" s="29" t="s">
        <v>23</v>
      </c>
      <c r="H6" s="29" t="s">
        <v>24</v>
      </c>
      <c r="I6" s="29" t="s">
        <v>25</v>
      </c>
      <c r="J6" s="29" t="s">
        <v>26</v>
      </c>
      <c r="L6" s="1" t="s">
        <v>18</v>
      </c>
      <c r="M6" s="2" t="s">
        <v>21</v>
      </c>
      <c r="N6" s="3" t="s">
        <v>17</v>
      </c>
      <c r="P6" s="29" t="s">
        <v>22</v>
      </c>
      <c r="Q6" s="29" t="s">
        <v>23</v>
      </c>
      <c r="R6" s="29" t="s">
        <v>24</v>
      </c>
      <c r="S6" s="29" t="s">
        <v>25</v>
      </c>
      <c r="T6" s="29" t="s">
        <v>26</v>
      </c>
    </row>
    <row r="7" spans="2:20" ht="18.75" customHeight="1" x14ac:dyDescent="0.25">
      <c r="B7" s="4" t="s">
        <v>27</v>
      </c>
      <c r="C7" s="5"/>
      <c r="D7" s="26" t="str">
        <f>IF(ISBLANK(C7),"",IF(C7&lt;=3,"Good",IF(C7&lt;=8,"Uncertain","Inadequate")))</f>
        <v/>
      </c>
      <c r="E7" s="32"/>
      <c r="F7" s="33"/>
      <c r="G7" s="33"/>
      <c r="H7" s="33"/>
      <c r="I7" s="33"/>
      <c r="J7" s="33"/>
      <c r="L7" s="4" t="s">
        <v>27</v>
      </c>
      <c r="M7" s="5">
        <v>0</v>
      </c>
      <c r="N7" s="26" t="str">
        <f>IF(ISBLANK(M7),"",IF(M7&lt;=3,"Good",IF(M7&lt;=8,"Uncertain","Inadequate")))</f>
        <v>Good</v>
      </c>
      <c r="O7" s="32"/>
      <c r="P7" s="33">
        <v>100</v>
      </c>
      <c r="Q7" s="33">
        <v>100</v>
      </c>
      <c r="R7" s="33">
        <v>100</v>
      </c>
      <c r="S7" s="33">
        <v>97</v>
      </c>
      <c r="T7" s="33">
        <v>95</v>
      </c>
    </row>
    <row r="8" spans="2:20" ht="18.75" customHeight="1" x14ac:dyDescent="0.25">
      <c r="B8" s="4" t="s">
        <v>28</v>
      </c>
      <c r="C8" s="5"/>
      <c r="D8" s="26" t="str">
        <f>IF(ISBLANK(C8),"",IF(C8&lt;=3,"Good",IF(C8&lt;=8,"Uncertain","Inadequate")))</f>
        <v/>
      </c>
      <c r="E8" s="32"/>
      <c r="F8" s="33"/>
      <c r="G8" s="33"/>
      <c r="H8" s="33"/>
      <c r="I8" s="33"/>
      <c r="J8" s="33"/>
      <c r="L8" s="4" t="s">
        <v>28</v>
      </c>
      <c r="M8" s="5">
        <v>0</v>
      </c>
      <c r="N8" s="26" t="str">
        <f>IF(ISBLANK(M8),"",IF(M8&lt;=3,"Good",IF(M8&lt;=8,"Uncertain","Inadequate")))</f>
        <v>Good</v>
      </c>
      <c r="O8" s="32"/>
      <c r="P8" s="33">
        <v>100</v>
      </c>
      <c r="Q8" s="33">
        <v>100</v>
      </c>
      <c r="R8" s="33">
        <v>95</v>
      </c>
      <c r="S8" s="33">
        <v>88</v>
      </c>
      <c r="T8" s="33">
        <v>92</v>
      </c>
    </row>
    <row r="9" spans="2:20" ht="18.75" customHeight="1" x14ac:dyDescent="0.25">
      <c r="B9" s="4" t="s">
        <v>29</v>
      </c>
      <c r="C9" s="5"/>
      <c r="D9" s="26" t="str">
        <f t="shared" ref="D9:D21" si="0">IF(ISBLANK(C9),"",IF(C9&lt;=3,"Good",IF(C9&lt;=8,"Uncertain","Inadequate")))</f>
        <v/>
      </c>
      <c r="E9" s="32"/>
      <c r="F9" s="33"/>
      <c r="G9" s="33"/>
      <c r="H9" s="33"/>
      <c r="I9" s="33"/>
      <c r="J9" s="33"/>
      <c r="L9" s="4" t="s">
        <v>29</v>
      </c>
      <c r="M9" s="5">
        <v>1</v>
      </c>
      <c r="N9" s="26" t="str">
        <f t="shared" ref="N9:N21" si="1">IF(ISBLANK(M9),"",IF(M9&lt;=3,"Good",IF(M9&lt;=8,"Uncertain","Inadequate")))</f>
        <v>Good</v>
      </c>
      <c r="O9" s="32"/>
      <c r="P9" s="33">
        <v>85</v>
      </c>
      <c r="Q9" s="33">
        <v>98</v>
      </c>
      <c r="R9" s="33">
        <v>87</v>
      </c>
      <c r="S9" s="33">
        <v>40</v>
      </c>
      <c r="T9" s="33">
        <v>61</v>
      </c>
    </row>
    <row r="10" spans="2:20" ht="18.75" customHeight="1" x14ac:dyDescent="0.25">
      <c r="B10" s="4" t="s">
        <v>30</v>
      </c>
      <c r="C10" s="5"/>
      <c r="D10" s="26" t="str">
        <f t="shared" si="0"/>
        <v/>
      </c>
      <c r="E10" s="32"/>
      <c r="F10" s="33"/>
      <c r="G10" s="33"/>
      <c r="H10" s="33"/>
      <c r="I10" s="33"/>
      <c r="J10" s="33"/>
      <c r="L10" s="4" t="s">
        <v>30</v>
      </c>
      <c r="M10" s="5">
        <v>4</v>
      </c>
      <c r="N10" s="26" t="str">
        <f t="shared" si="1"/>
        <v>Uncertain</v>
      </c>
      <c r="O10" s="32"/>
      <c r="P10" s="33">
        <v>100</v>
      </c>
      <c r="Q10" s="33">
        <v>93</v>
      </c>
      <c r="R10" s="33">
        <v>89</v>
      </c>
      <c r="S10" s="33">
        <v>76</v>
      </c>
      <c r="T10" s="33">
        <v>70</v>
      </c>
    </row>
    <row r="11" spans="2:20" ht="18.75" customHeight="1" x14ac:dyDescent="0.25">
      <c r="B11" s="4" t="s">
        <v>31</v>
      </c>
      <c r="C11" s="5"/>
      <c r="D11" s="26" t="str">
        <f t="shared" si="0"/>
        <v/>
      </c>
      <c r="E11" s="32"/>
      <c r="F11" s="33"/>
      <c r="G11" s="33"/>
      <c r="H11" s="33"/>
      <c r="I11" s="33"/>
      <c r="J11" s="33"/>
      <c r="L11" s="4" t="s">
        <v>31</v>
      </c>
      <c r="M11" s="5">
        <v>4</v>
      </c>
      <c r="N11" s="26" t="str">
        <f t="shared" si="1"/>
        <v>Uncertain</v>
      </c>
      <c r="O11" s="32"/>
      <c r="P11" s="33">
        <v>94</v>
      </c>
      <c r="Q11" s="33">
        <v>93</v>
      </c>
      <c r="R11" s="33">
        <v>85</v>
      </c>
      <c r="S11" s="33">
        <v>77</v>
      </c>
      <c r="T11" s="33">
        <v>83</v>
      </c>
    </row>
    <row r="12" spans="2:20" ht="18.75" customHeight="1" x14ac:dyDescent="0.25">
      <c r="B12" s="4" t="s">
        <v>32</v>
      </c>
      <c r="C12" s="5"/>
      <c r="D12" s="26" t="str">
        <f t="shared" si="0"/>
        <v/>
      </c>
      <c r="E12" s="32"/>
      <c r="F12" s="33"/>
      <c r="G12" s="33"/>
      <c r="H12" s="33"/>
      <c r="I12" s="33"/>
      <c r="J12" s="33"/>
      <c r="L12" s="4" t="s">
        <v>32</v>
      </c>
      <c r="M12" s="5">
        <v>5</v>
      </c>
      <c r="N12" s="26" t="str">
        <f t="shared" si="1"/>
        <v>Uncertain</v>
      </c>
      <c r="O12" s="32"/>
      <c r="P12" s="33">
        <v>99</v>
      </c>
      <c r="Q12" s="33">
        <v>92</v>
      </c>
      <c r="R12" s="33">
        <v>92</v>
      </c>
      <c r="S12" s="33">
        <v>87</v>
      </c>
      <c r="T12" s="33">
        <v>87</v>
      </c>
    </row>
    <row r="13" spans="2:20" ht="18.75" customHeight="1" x14ac:dyDescent="0.25">
      <c r="B13" s="4" t="s">
        <v>33</v>
      </c>
      <c r="C13" s="5"/>
      <c r="D13" s="26" t="str">
        <f t="shared" si="0"/>
        <v/>
      </c>
      <c r="E13" s="32"/>
      <c r="F13" s="33"/>
      <c r="G13" s="33"/>
      <c r="H13" s="33"/>
      <c r="I13" s="33"/>
      <c r="J13" s="33"/>
      <c r="L13" s="4" t="s">
        <v>33</v>
      </c>
      <c r="M13" s="5">
        <v>6</v>
      </c>
      <c r="N13" s="26" t="str">
        <f t="shared" si="1"/>
        <v>Uncertain</v>
      </c>
      <c r="O13" s="32"/>
      <c r="P13" s="33">
        <v>99</v>
      </c>
      <c r="Q13" s="33">
        <v>90</v>
      </c>
      <c r="R13" s="33">
        <v>88</v>
      </c>
      <c r="S13" s="33">
        <v>83</v>
      </c>
      <c r="T13" s="33">
        <v>87</v>
      </c>
    </row>
    <row r="14" spans="2:20" ht="18.75" customHeight="1" x14ac:dyDescent="0.25">
      <c r="B14" s="4" t="s">
        <v>34</v>
      </c>
      <c r="C14" s="5"/>
      <c r="D14" s="26" t="str">
        <f t="shared" si="0"/>
        <v/>
      </c>
      <c r="E14" s="32"/>
      <c r="F14" s="33"/>
      <c r="G14" s="33"/>
      <c r="H14" s="33"/>
      <c r="I14" s="33"/>
      <c r="J14" s="33"/>
      <c r="L14" s="4" t="s">
        <v>34</v>
      </c>
      <c r="M14" s="5">
        <v>9</v>
      </c>
      <c r="N14" s="26" t="str">
        <f t="shared" si="1"/>
        <v>Inadequate</v>
      </c>
      <c r="O14" s="32"/>
      <c r="P14" s="33">
        <v>86</v>
      </c>
      <c r="Q14" s="33">
        <v>85</v>
      </c>
      <c r="R14" s="33">
        <v>73</v>
      </c>
      <c r="S14" s="33">
        <v>67</v>
      </c>
      <c r="T14" s="33">
        <v>76</v>
      </c>
    </row>
    <row r="15" spans="2:20" ht="18.75" customHeight="1" x14ac:dyDescent="0.25">
      <c r="B15" s="4" t="s">
        <v>35</v>
      </c>
      <c r="C15" s="5"/>
      <c r="D15" s="26" t="str">
        <f t="shared" si="0"/>
        <v/>
      </c>
      <c r="E15" s="32"/>
      <c r="F15" s="33"/>
      <c r="G15" s="33"/>
      <c r="H15" s="33"/>
      <c r="I15" s="33"/>
      <c r="J15" s="33"/>
      <c r="L15" s="4" t="s">
        <v>35</v>
      </c>
      <c r="M15" s="5">
        <v>10</v>
      </c>
      <c r="N15" s="26" t="str">
        <f t="shared" si="1"/>
        <v>Inadequate</v>
      </c>
      <c r="O15" s="32"/>
      <c r="P15" s="33">
        <v>95</v>
      </c>
      <c r="Q15" s="33">
        <v>83</v>
      </c>
      <c r="R15" s="33">
        <v>76</v>
      </c>
      <c r="S15" s="33">
        <v>41</v>
      </c>
      <c r="T15" s="33">
        <v>54</v>
      </c>
    </row>
    <row r="16" spans="2:20" ht="18.75" customHeight="1" x14ac:dyDescent="0.25">
      <c r="B16" s="4" t="s">
        <v>36</v>
      </c>
      <c r="C16" s="5"/>
      <c r="D16" s="26" t="str">
        <f t="shared" si="0"/>
        <v/>
      </c>
      <c r="E16" s="32"/>
      <c r="F16" s="33"/>
      <c r="G16" s="33"/>
      <c r="H16" s="33"/>
      <c r="I16" s="33"/>
      <c r="J16" s="33"/>
      <c r="L16" s="4" t="s">
        <v>36</v>
      </c>
      <c r="M16" s="5">
        <v>10</v>
      </c>
      <c r="N16" s="26" t="str">
        <f t="shared" si="1"/>
        <v>Inadequate</v>
      </c>
      <c r="O16" s="32"/>
      <c r="P16" s="33">
        <v>100</v>
      </c>
      <c r="Q16" s="33">
        <v>83</v>
      </c>
      <c r="R16" s="33">
        <v>78</v>
      </c>
      <c r="S16" s="33">
        <v>67</v>
      </c>
      <c r="T16" s="33">
        <v>70</v>
      </c>
    </row>
    <row r="17" spans="2:20" ht="18.75" customHeight="1" x14ac:dyDescent="0.25">
      <c r="B17" s="4" t="s">
        <v>37</v>
      </c>
      <c r="C17" s="5"/>
      <c r="D17" s="26" t="str">
        <f t="shared" si="0"/>
        <v/>
      </c>
      <c r="E17" s="32"/>
      <c r="F17" s="33"/>
      <c r="G17" s="33"/>
      <c r="H17" s="33"/>
      <c r="I17" s="33"/>
      <c r="J17" s="33"/>
      <c r="L17" s="4" t="s">
        <v>37</v>
      </c>
      <c r="M17" s="5">
        <v>11</v>
      </c>
      <c r="N17" s="26" t="str">
        <f t="shared" si="1"/>
        <v>Inadequate</v>
      </c>
      <c r="O17" s="32"/>
      <c r="P17" s="33">
        <v>100</v>
      </c>
      <c r="Q17" s="33">
        <v>80</v>
      </c>
      <c r="R17" s="33">
        <v>72</v>
      </c>
      <c r="S17" s="33">
        <v>66</v>
      </c>
      <c r="T17" s="33">
        <v>96</v>
      </c>
    </row>
    <row r="18" spans="2:20" ht="18.75" customHeight="1" x14ac:dyDescent="0.25">
      <c r="B18" s="4" t="s">
        <v>38</v>
      </c>
      <c r="C18" s="5"/>
      <c r="D18" s="26" t="str">
        <f t="shared" si="0"/>
        <v/>
      </c>
      <c r="E18" s="32"/>
      <c r="F18" s="33"/>
      <c r="G18" s="33"/>
      <c r="H18" s="33"/>
      <c r="I18" s="33"/>
      <c r="J18" s="33"/>
      <c r="L18" s="4" t="s">
        <v>38</v>
      </c>
      <c r="M18" s="5">
        <v>12</v>
      </c>
      <c r="N18" s="26" t="str">
        <f t="shared" si="1"/>
        <v>Inadequate</v>
      </c>
      <c r="O18" s="32"/>
      <c r="P18" s="33">
        <v>69</v>
      </c>
      <c r="Q18" s="33">
        <v>78</v>
      </c>
      <c r="R18" s="33">
        <v>67</v>
      </c>
      <c r="S18" s="33">
        <v>30</v>
      </c>
      <c r="T18" s="33">
        <v>45</v>
      </c>
    </row>
    <row r="19" spans="2:20" ht="18.75" customHeight="1" x14ac:dyDescent="0.25">
      <c r="B19" s="4" t="s">
        <v>39</v>
      </c>
      <c r="C19" s="5"/>
      <c r="D19" s="26" t="str">
        <f t="shared" si="0"/>
        <v/>
      </c>
      <c r="E19" s="32"/>
      <c r="F19" s="33"/>
      <c r="G19" s="33"/>
      <c r="H19" s="33"/>
      <c r="I19" s="33"/>
      <c r="J19" s="33"/>
      <c r="L19" s="4" t="s">
        <v>39</v>
      </c>
      <c r="M19" s="5">
        <v>13</v>
      </c>
      <c r="N19" s="26" t="str">
        <f t="shared" si="1"/>
        <v>Inadequate</v>
      </c>
      <c r="O19" s="32"/>
      <c r="P19" s="33">
        <v>100</v>
      </c>
      <c r="Q19" s="33">
        <v>76</v>
      </c>
      <c r="R19" s="33">
        <v>84</v>
      </c>
      <c r="S19" s="33">
        <v>68</v>
      </c>
      <c r="T19" s="33">
        <v>88</v>
      </c>
    </row>
    <row r="20" spans="2:20" ht="18.75" customHeight="1" x14ac:dyDescent="0.25">
      <c r="B20" s="4" t="s">
        <v>40</v>
      </c>
      <c r="C20" s="5"/>
      <c r="D20" s="26" t="str">
        <f t="shared" si="0"/>
        <v/>
      </c>
      <c r="E20" s="32"/>
      <c r="F20" s="33"/>
      <c r="G20" s="33"/>
      <c r="H20" s="33"/>
      <c r="I20" s="33"/>
      <c r="J20" s="33"/>
      <c r="L20" s="4" t="s">
        <v>40</v>
      </c>
      <c r="M20" s="5">
        <v>13</v>
      </c>
      <c r="N20" s="26" t="str">
        <f t="shared" si="1"/>
        <v>Inadequate</v>
      </c>
      <c r="O20" s="32"/>
      <c r="P20" s="33">
        <v>99</v>
      </c>
      <c r="Q20" s="33">
        <v>76</v>
      </c>
      <c r="R20" s="33">
        <v>78</v>
      </c>
      <c r="S20" s="33">
        <v>57</v>
      </c>
      <c r="T20" s="33">
        <v>74</v>
      </c>
    </row>
    <row r="21" spans="2:20" ht="18.75" customHeight="1" x14ac:dyDescent="0.25">
      <c r="B21" s="4" t="s">
        <v>41</v>
      </c>
      <c r="C21" s="6"/>
      <c r="D21" s="26" t="str">
        <f t="shared" si="0"/>
        <v/>
      </c>
      <c r="E21" s="34"/>
      <c r="F21" s="35"/>
      <c r="G21" s="35"/>
      <c r="H21" s="35"/>
      <c r="I21" s="35"/>
      <c r="J21" s="35"/>
      <c r="L21" s="4" t="s">
        <v>41</v>
      </c>
      <c r="M21" s="6">
        <v>15</v>
      </c>
      <c r="N21" s="26" t="str">
        <f t="shared" si="1"/>
        <v>Inadequate</v>
      </c>
      <c r="O21" s="34"/>
      <c r="P21" s="35">
        <v>94</v>
      </c>
      <c r="Q21" s="35">
        <v>74</v>
      </c>
      <c r="R21" s="35">
        <v>75</v>
      </c>
      <c r="S21" s="35">
        <v>50</v>
      </c>
      <c r="T21" s="35">
        <v>93</v>
      </c>
    </row>
    <row r="22" spans="2:20" ht="30" customHeight="1" x14ac:dyDescent="0.25">
      <c r="B22" s="117" t="s">
        <v>42</v>
      </c>
      <c r="C22" s="117"/>
      <c r="D22" s="117"/>
      <c r="E22" s="117"/>
      <c r="F22" s="117"/>
      <c r="G22" s="117"/>
      <c r="H22" s="117"/>
      <c r="I22" s="117"/>
      <c r="J22" s="117"/>
      <c r="L22" s="117" t="s">
        <v>42</v>
      </c>
      <c r="M22" s="117"/>
      <c r="N22" s="117"/>
      <c r="O22" s="117"/>
      <c r="P22" s="117"/>
      <c r="Q22" s="117"/>
      <c r="R22" s="117"/>
      <c r="S22" s="117"/>
      <c r="T22" s="117"/>
    </row>
    <row r="23" spans="2:20" ht="63.75" customHeight="1" x14ac:dyDescent="0.25">
      <c r="B23" s="118" t="s">
        <v>43</v>
      </c>
      <c r="C23" s="117"/>
      <c r="D23" s="117"/>
      <c r="E23" s="117"/>
      <c r="F23" s="117"/>
      <c r="G23" s="117"/>
      <c r="H23" s="117"/>
      <c r="I23" s="117"/>
      <c r="J23" s="117"/>
      <c r="L23" s="118" t="s">
        <v>43</v>
      </c>
      <c r="M23" s="117"/>
      <c r="N23" s="117"/>
      <c r="O23" s="117"/>
      <c r="P23" s="117"/>
      <c r="Q23" s="117"/>
      <c r="R23" s="117"/>
      <c r="S23" s="117"/>
      <c r="T23" s="117"/>
    </row>
    <row r="24" spans="2:20" ht="63.75" customHeight="1" x14ac:dyDescent="0.25">
      <c r="B24" s="117" t="s">
        <v>44</v>
      </c>
      <c r="C24" s="117"/>
      <c r="D24" s="117"/>
      <c r="E24" s="117"/>
      <c r="F24" s="117"/>
      <c r="G24" s="117"/>
      <c r="H24" s="117"/>
      <c r="I24" s="117"/>
      <c r="J24" s="117"/>
      <c r="L24" s="117" t="s">
        <v>44</v>
      </c>
      <c r="M24" s="117"/>
      <c r="N24" s="117"/>
      <c r="O24" s="117"/>
      <c r="P24" s="117"/>
      <c r="Q24" s="117"/>
      <c r="R24" s="117"/>
      <c r="S24" s="117"/>
      <c r="T24" s="117"/>
    </row>
  </sheetData>
  <mergeCells count="14">
    <mergeCell ref="B22:J22"/>
    <mergeCell ref="B23:J23"/>
    <mergeCell ref="B24:J24"/>
    <mergeCell ref="L4:T4"/>
    <mergeCell ref="L5:N5"/>
    <mergeCell ref="P5:T5"/>
    <mergeCell ref="L22:T22"/>
    <mergeCell ref="L23:T23"/>
    <mergeCell ref="L24:T24"/>
    <mergeCell ref="B2:J2"/>
    <mergeCell ref="L2:T2"/>
    <mergeCell ref="B4:J4"/>
    <mergeCell ref="B5:D5"/>
    <mergeCell ref="F5:J5"/>
  </mergeCells>
  <phoneticPr fontId="2" type="noConversion"/>
  <conditionalFormatting sqref="D7:D21 N7:N21">
    <cfRule type="containsText" dxfId="5" priority="7" operator="containsText" text="Inadequate">
      <formula>NOT(ISERROR(SEARCH("Inadequate",D7)))</formula>
    </cfRule>
    <cfRule type="containsText" dxfId="4" priority="8" operator="containsText" text="Uncertain">
      <formula>NOT(ISERROR(SEARCH("Uncertain",D7)))</formula>
    </cfRule>
    <cfRule type="containsText" dxfId="3" priority="9" operator="containsText" text="Good">
      <formula>NOT(ISERROR(SEARCH("Good",D7)))</formula>
    </cfRule>
  </conditionalFormatting>
  <conditionalFormatting sqref="F7:J21 P7:T21">
    <cfRule type="cellIs" dxfId="2" priority="13" operator="between">
      <formula>81</formula>
      <formula>89</formula>
    </cfRule>
    <cfRule type="cellIs" dxfId="1" priority="14" operator="lessThan">
      <formula>81</formula>
    </cfRule>
    <cfRule type="cellIs" dxfId="0" priority="15" operator="greaterThan">
      <formula>89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75CF-0F10-46F8-9509-3C46FBCB4384}">
  <dimension ref="B2:Q39"/>
  <sheetViews>
    <sheetView zoomScaleNormal="100" workbookViewId="0"/>
  </sheetViews>
  <sheetFormatPr defaultColWidth="9.140625" defaultRowHeight="15" x14ac:dyDescent="0.25"/>
  <cols>
    <col min="1" max="1" width="9.140625" style="7"/>
    <col min="2" max="2" width="14.28515625" style="7" customWidth="1"/>
    <col min="3" max="5" width="10" style="7" customWidth="1"/>
    <col min="6" max="6" width="1.42578125" style="7" customWidth="1"/>
    <col min="7" max="17" width="10" style="7" customWidth="1"/>
    <col min="18" max="16384" width="9.140625" style="7"/>
  </cols>
  <sheetData>
    <row r="2" spans="2:17" x14ac:dyDescent="0.25">
      <c r="B2" s="102" t="s">
        <v>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4" spans="2:17" ht="33.75" customHeight="1" x14ac:dyDescent="0.25">
      <c r="B4" s="104" t="s">
        <v>147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2:17" ht="15" customHeight="1" x14ac:dyDescent="0.25">
      <c r="B5" s="9"/>
      <c r="C5" s="105" t="s">
        <v>52</v>
      </c>
      <c r="D5" s="105"/>
      <c r="E5" s="105"/>
      <c r="F5" s="36"/>
      <c r="G5" s="105" t="s">
        <v>46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2:17" ht="30" customHeight="1" x14ac:dyDescent="0.25">
      <c r="B6" s="106" t="s">
        <v>0</v>
      </c>
      <c r="C6" s="108" t="s">
        <v>1</v>
      </c>
      <c r="D6" s="110" t="s">
        <v>45</v>
      </c>
      <c r="E6" s="111"/>
      <c r="F6" s="37"/>
      <c r="G6" s="108" t="s">
        <v>1</v>
      </c>
      <c r="H6" s="110" t="s">
        <v>47</v>
      </c>
      <c r="I6" s="111"/>
      <c r="J6" s="112" t="s">
        <v>48</v>
      </c>
      <c r="K6" s="111"/>
      <c r="L6" s="112" t="s">
        <v>51</v>
      </c>
      <c r="M6" s="111"/>
      <c r="N6" s="112" t="s">
        <v>50</v>
      </c>
      <c r="O6" s="111"/>
      <c r="P6" s="112" t="s">
        <v>49</v>
      </c>
      <c r="Q6" s="113"/>
    </row>
    <row r="7" spans="2:17" x14ac:dyDescent="0.25">
      <c r="B7" s="107"/>
      <c r="C7" s="109"/>
      <c r="D7" s="27" t="s">
        <v>14</v>
      </c>
      <c r="E7" s="28" t="s">
        <v>15</v>
      </c>
      <c r="F7" s="38"/>
      <c r="G7" s="109"/>
      <c r="H7" s="27" t="s">
        <v>14</v>
      </c>
      <c r="I7" s="25" t="s">
        <v>15</v>
      </c>
      <c r="J7" s="25" t="s">
        <v>14</v>
      </c>
      <c r="K7" s="25" t="s">
        <v>15</v>
      </c>
      <c r="L7" s="25" t="s">
        <v>14</v>
      </c>
      <c r="M7" s="25" t="s">
        <v>15</v>
      </c>
      <c r="N7" s="25" t="s">
        <v>14</v>
      </c>
      <c r="O7" s="25" t="s">
        <v>15</v>
      </c>
      <c r="P7" s="25" t="s">
        <v>14</v>
      </c>
      <c r="Q7" s="25" t="s">
        <v>15</v>
      </c>
    </row>
    <row r="8" spans="2:17" ht="18.75" customHeight="1" x14ac:dyDescent="0.25">
      <c r="B8" s="8"/>
      <c r="C8" s="10"/>
      <c r="D8" s="22"/>
      <c r="E8" s="11"/>
      <c r="F8" s="39"/>
      <c r="G8" s="41"/>
      <c r="H8" s="18"/>
      <c r="I8" s="12"/>
      <c r="J8" s="11"/>
      <c r="K8" s="11"/>
      <c r="L8" s="11"/>
      <c r="M8" s="11"/>
      <c r="N8" s="11"/>
      <c r="O8" s="11"/>
      <c r="P8" s="11"/>
      <c r="Q8" s="10"/>
    </row>
    <row r="9" spans="2:17" ht="18.75" customHeight="1" x14ac:dyDescent="0.25">
      <c r="B9" s="8"/>
      <c r="C9" s="10"/>
      <c r="D9" s="22"/>
      <c r="E9" s="11"/>
      <c r="F9" s="39"/>
      <c r="G9" s="41"/>
      <c r="H9" s="18"/>
      <c r="I9" s="13"/>
      <c r="J9" s="11"/>
      <c r="K9" s="11"/>
      <c r="L9" s="11"/>
      <c r="M9" s="11"/>
      <c r="N9" s="11"/>
      <c r="O9" s="11"/>
      <c r="P9" s="11"/>
      <c r="Q9" s="10"/>
    </row>
    <row r="10" spans="2:17" ht="18.75" customHeight="1" x14ac:dyDescent="0.25">
      <c r="B10" s="8"/>
      <c r="C10" s="10"/>
      <c r="D10" s="22"/>
      <c r="E10" s="11"/>
      <c r="F10" s="39"/>
      <c r="G10" s="41"/>
      <c r="H10" s="18"/>
      <c r="I10" s="13"/>
      <c r="J10" s="11"/>
      <c r="K10" s="11"/>
      <c r="L10" s="11"/>
      <c r="M10" s="11"/>
      <c r="N10" s="11"/>
      <c r="O10" s="11"/>
      <c r="P10" s="11"/>
      <c r="Q10" s="10"/>
    </row>
    <row r="11" spans="2:17" ht="18.75" customHeight="1" x14ac:dyDescent="0.25">
      <c r="B11" s="8"/>
      <c r="C11" s="10"/>
      <c r="D11" s="22"/>
      <c r="E11" s="11"/>
      <c r="F11" s="39"/>
      <c r="G11" s="41"/>
      <c r="H11" s="18"/>
      <c r="I11" s="13"/>
      <c r="J11" s="11"/>
      <c r="K11" s="11"/>
      <c r="L11" s="11"/>
      <c r="M11" s="11"/>
      <c r="N11" s="11"/>
      <c r="O11" s="11"/>
      <c r="P11" s="11"/>
      <c r="Q11" s="10"/>
    </row>
    <row r="12" spans="2:17" ht="18.75" customHeight="1" x14ac:dyDescent="0.25">
      <c r="B12" s="8"/>
      <c r="C12" s="10"/>
      <c r="D12" s="22"/>
      <c r="E12" s="11"/>
      <c r="F12" s="39"/>
      <c r="G12" s="41"/>
      <c r="H12" s="18"/>
      <c r="I12" s="13"/>
      <c r="J12" s="11"/>
      <c r="K12" s="11"/>
      <c r="L12" s="11"/>
      <c r="M12" s="11"/>
      <c r="N12" s="11"/>
      <c r="O12" s="11"/>
      <c r="P12" s="11"/>
      <c r="Q12" s="10"/>
    </row>
    <row r="13" spans="2:17" ht="18.75" customHeight="1" x14ac:dyDescent="0.25">
      <c r="B13" s="8"/>
      <c r="C13" s="10"/>
      <c r="D13" s="22"/>
      <c r="E13" s="11"/>
      <c r="F13" s="39"/>
      <c r="G13" s="41"/>
      <c r="H13" s="18"/>
      <c r="I13" s="13"/>
      <c r="J13" s="11"/>
      <c r="K13" s="11"/>
      <c r="L13" s="11"/>
      <c r="M13" s="11"/>
      <c r="N13" s="11"/>
      <c r="O13" s="11"/>
      <c r="P13" s="11"/>
      <c r="Q13" s="10"/>
    </row>
    <row r="14" spans="2:17" ht="18.75" customHeight="1" x14ac:dyDescent="0.25">
      <c r="B14" s="8"/>
      <c r="C14" s="10"/>
      <c r="D14" s="22"/>
      <c r="E14" s="11"/>
      <c r="F14" s="39"/>
      <c r="G14" s="41"/>
      <c r="H14" s="18"/>
      <c r="I14" s="13"/>
      <c r="J14" s="11"/>
      <c r="K14" s="11"/>
      <c r="L14" s="11"/>
      <c r="M14" s="11"/>
      <c r="N14" s="11"/>
      <c r="O14" s="11"/>
      <c r="P14" s="11"/>
      <c r="Q14" s="10"/>
    </row>
    <row r="15" spans="2:17" ht="18.75" customHeight="1" x14ac:dyDescent="0.25">
      <c r="B15" s="8"/>
      <c r="C15" s="10"/>
      <c r="D15" s="22"/>
      <c r="E15" s="11"/>
      <c r="F15" s="39"/>
      <c r="G15" s="41"/>
      <c r="H15" s="18"/>
      <c r="I15" s="13"/>
      <c r="J15" s="11"/>
      <c r="K15" s="11"/>
      <c r="L15" s="11"/>
      <c r="M15" s="11"/>
      <c r="N15" s="11"/>
      <c r="O15" s="11"/>
      <c r="P15" s="11"/>
      <c r="Q15" s="10"/>
    </row>
    <row r="16" spans="2:17" ht="18.75" customHeight="1" x14ac:dyDescent="0.25">
      <c r="B16" s="8"/>
      <c r="C16" s="10"/>
      <c r="D16" s="22"/>
      <c r="E16" s="11"/>
      <c r="F16" s="39"/>
      <c r="G16" s="41"/>
      <c r="H16" s="18"/>
      <c r="I16" s="13"/>
      <c r="J16" s="11"/>
      <c r="K16" s="11"/>
      <c r="L16" s="11"/>
      <c r="M16" s="11"/>
      <c r="N16" s="11"/>
      <c r="O16" s="11"/>
      <c r="P16" s="11"/>
      <c r="Q16" s="10"/>
    </row>
    <row r="17" spans="2:17" ht="18.75" customHeight="1" x14ac:dyDescent="0.25">
      <c r="B17" s="8"/>
      <c r="C17" s="10"/>
      <c r="D17" s="22"/>
      <c r="E17" s="11"/>
      <c r="F17" s="39"/>
      <c r="G17" s="41"/>
      <c r="H17" s="18"/>
      <c r="I17" s="13"/>
      <c r="J17" s="11"/>
      <c r="K17" s="11"/>
      <c r="L17" s="11"/>
      <c r="M17" s="11"/>
      <c r="N17" s="11"/>
      <c r="O17" s="11"/>
      <c r="P17" s="11"/>
      <c r="Q17" s="10"/>
    </row>
    <row r="18" spans="2:17" ht="18.75" customHeight="1" x14ac:dyDescent="0.25">
      <c r="B18" s="14" t="s">
        <v>13</v>
      </c>
      <c r="C18" s="24"/>
      <c r="D18" s="21"/>
      <c r="E18" s="15"/>
      <c r="F18" s="40"/>
      <c r="G18" s="42"/>
      <c r="H18" s="19"/>
      <c r="I18" s="16"/>
      <c r="J18" s="15"/>
      <c r="K18" s="15"/>
      <c r="L18" s="15"/>
      <c r="M18" s="15"/>
      <c r="N18" s="15"/>
      <c r="O18" s="15"/>
      <c r="P18" s="15"/>
      <c r="Q18" s="24"/>
    </row>
    <row r="19" spans="2:17" ht="30" customHeight="1" x14ac:dyDescent="0.25">
      <c r="B19" s="114" t="s">
        <v>151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</row>
    <row r="20" spans="2:17" ht="18.75" customHeight="1" x14ac:dyDescent="0.25"/>
    <row r="21" spans="2:17" ht="18.75" customHeight="1" x14ac:dyDescent="0.25"/>
    <row r="22" spans="2:17" x14ac:dyDescent="0.25">
      <c r="B22" s="102" t="s">
        <v>12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</row>
    <row r="23" spans="2:17" x14ac:dyDescent="0.25">
      <c r="B23" s="102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</row>
    <row r="24" spans="2:17" ht="33.75" customHeight="1" x14ac:dyDescent="0.25">
      <c r="B24" s="104" t="s">
        <v>148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</row>
    <row r="25" spans="2:17" ht="15" customHeight="1" x14ac:dyDescent="0.25">
      <c r="B25" s="9"/>
      <c r="C25" s="105" t="s">
        <v>52</v>
      </c>
      <c r="D25" s="105"/>
      <c r="E25" s="105"/>
      <c r="F25" s="36"/>
      <c r="G25" s="105" t="s">
        <v>46</v>
      </c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2:17" ht="30" customHeight="1" x14ac:dyDescent="0.25">
      <c r="B26" s="106" t="s">
        <v>0</v>
      </c>
      <c r="C26" s="108" t="s">
        <v>1</v>
      </c>
      <c r="D26" s="110" t="s">
        <v>45</v>
      </c>
      <c r="E26" s="111"/>
      <c r="F26" s="37"/>
      <c r="G26" s="108" t="s">
        <v>1</v>
      </c>
      <c r="H26" s="110" t="s">
        <v>47</v>
      </c>
      <c r="I26" s="111"/>
      <c r="J26" s="112" t="s">
        <v>48</v>
      </c>
      <c r="K26" s="111"/>
      <c r="L26" s="112" t="s">
        <v>51</v>
      </c>
      <c r="M26" s="111"/>
      <c r="N26" s="112" t="s">
        <v>50</v>
      </c>
      <c r="O26" s="111"/>
      <c r="P26" s="112" t="s">
        <v>49</v>
      </c>
      <c r="Q26" s="113"/>
    </row>
    <row r="27" spans="2:17" x14ac:dyDescent="0.25">
      <c r="B27" s="107"/>
      <c r="C27" s="109"/>
      <c r="D27" s="27" t="s">
        <v>14</v>
      </c>
      <c r="E27" s="28" t="s">
        <v>15</v>
      </c>
      <c r="F27" s="38"/>
      <c r="G27" s="109"/>
      <c r="H27" s="27" t="s">
        <v>14</v>
      </c>
      <c r="I27" s="25" t="s">
        <v>15</v>
      </c>
      <c r="J27" s="25" t="s">
        <v>14</v>
      </c>
      <c r="K27" s="25" t="s">
        <v>15</v>
      </c>
      <c r="L27" s="25" t="s">
        <v>14</v>
      </c>
      <c r="M27" s="25" t="s">
        <v>15</v>
      </c>
      <c r="N27" s="25" t="s">
        <v>14</v>
      </c>
      <c r="O27" s="25" t="s">
        <v>15</v>
      </c>
      <c r="P27" s="25" t="s">
        <v>14</v>
      </c>
      <c r="Q27" s="25" t="s">
        <v>15</v>
      </c>
    </row>
    <row r="28" spans="2:17" ht="18.75" customHeight="1" x14ac:dyDescent="0.25">
      <c r="B28" s="8" t="s">
        <v>2</v>
      </c>
      <c r="C28" s="10">
        <v>60</v>
      </c>
      <c r="D28" s="22">
        <v>60</v>
      </c>
      <c r="E28" s="17">
        <f t="shared" ref="E28:E38" si="0">D28/C28</f>
        <v>1</v>
      </c>
      <c r="F28" s="39"/>
      <c r="G28" s="41">
        <v>0</v>
      </c>
      <c r="H28" s="18" t="s">
        <v>93</v>
      </c>
      <c r="I28" s="12" t="str">
        <f>IF(H28="-","-",H28/$G28)</f>
        <v>-</v>
      </c>
      <c r="J28" s="11" t="s">
        <v>93</v>
      </c>
      <c r="K28" s="17" t="str">
        <f>IF(J28="-","-",J28/$G28)</f>
        <v>-</v>
      </c>
      <c r="L28" s="11" t="s">
        <v>93</v>
      </c>
      <c r="M28" s="17" t="str">
        <f>IF(L28="-","-",L28/$G28)</f>
        <v>-</v>
      </c>
      <c r="N28" s="11" t="s">
        <v>93</v>
      </c>
      <c r="O28" s="17" t="str">
        <f>IF(N28="-","-",N28/$G28)</f>
        <v>-</v>
      </c>
      <c r="P28" s="11" t="s">
        <v>93</v>
      </c>
      <c r="Q28" s="20" t="str">
        <f>IF(P28="-","-",P28/$G28)</f>
        <v>-</v>
      </c>
    </row>
    <row r="29" spans="2:17" ht="18.75" customHeight="1" x14ac:dyDescent="0.25">
      <c r="B29" s="8" t="s">
        <v>3</v>
      </c>
      <c r="C29" s="10">
        <v>60</v>
      </c>
      <c r="D29" s="22">
        <v>58</v>
      </c>
      <c r="E29" s="17">
        <f t="shared" si="0"/>
        <v>0.96666666666666667</v>
      </c>
      <c r="F29" s="39"/>
      <c r="G29" s="41">
        <v>2</v>
      </c>
      <c r="H29" s="18" t="s">
        <v>93</v>
      </c>
      <c r="I29" s="13" t="str">
        <f t="shared" ref="I29:K38" si="1">IF(H29="-","-",H29/$G29)</f>
        <v>-</v>
      </c>
      <c r="J29" s="11">
        <v>1</v>
      </c>
      <c r="K29" s="17">
        <f t="shared" si="1"/>
        <v>0.5</v>
      </c>
      <c r="L29" s="11">
        <v>1</v>
      </c>
      <c r="M29" s="17">
        <f t="shared" ref="M29:O29" si="2">IF(L29="-","-",L29/$G29)</f>
        <v>0.5</v>
      </c>
      <c r="N29" s="11" t="s">
        <v>93</v>
      </c>
      <c r="O29" s="17" t="str">
        <f t="shared" si="2"/>
        <v>-</v>
      </c>
      <c r="P29" s="11" t="s">
        <v>93</v>
      </c>
      <c r="Q29" s="20" t="str">
        <f t="shared" ref="Q29" si="3">IF(P29="-","-",P29/$G29)</f>
        <v>-</v>
      </c>
    </row>
    <row r="30" spans="2:17" ht="18.75" customHeight="1" x14ac:dyDescent="0.25">
      <c r="B30" s="8" t="s">
        <v>4</v>
      </c>
      <c r="C30" s="10">
        <v>60</v>
      </c>
      <c r="D30" s="22">
        <v>60</v>
      </c>
      <c r="E30" s="17">
        <f t="shared" si="0"/>
        <v>1</v>
      </c>
      <c r="F30" s="39"/>
      <c r="G30" s="41">
        <v>0</v>
      </c>
      <c r="H30" s="18" t="s">
        <v>93</v>
      </c>
      <c r="I30" s="13" t="str">
        <f t="shared" si="1"/>
        <v>-</v>
      </c>
      <c r="J30" s="11" t="s">
        <v>93</v>
      </c>
      <c r="K30" s="17" t="str">
        <f t="shared" si="1"/>
        <v>-</v>
      </c>
      <c r="L30" s="11" t="s">
        <v>93</v>
      </c>
      <c r="M30" s="17" t="str">
        <f t="shared" ref="M30:O30" si="4">IF(L30="-","-",L30/$G30)</f>
        <v>-</v>
      </c>
      <c r="N30" s="11" t="s">
        <v>93</v>
      </c>
      <c r="O30" s="17" t="str">
        <f t="shared" si="4"/>
        <v>-</v>
      </c>
      <c r="P30" s="11" t="s">
        <v>93</v>
      </c>
      <c r="Q30" s="20" t="str">
        <f t="shared" ref="Q30" si="5">IF(P30="-","-",P30/$G30)</f>
        <v>-</v>
      </c>
    </row>
    <row r="31" spans="2:17" ht="18.75" customHeight="1" x14ac:dyDescent="0.25">
      <c r="B31" s="8" t="s">
        <v>5</v>
      </c>
      <c r="C31" s="10">
        <v>60</v>
      </c>
      <c r="D31" s="22">
        <v>60</v>
      </c>
      <c r="E31" s="17">
        <f t="shared" si="0"/>
        <v>1</v>
      </c>
      <c r="F31" s="39"/>
      <c r="G31" s="41">
        <v>0</v>
      </c>
      <c r="H31" s="18" t="s">
        <v>93</v>
      </c>
      <c r="I31" s="13" t="str">
        <f t="shared" si="1"/>
        <v>-</v>
      </c>
      <c r="J31" s="11" t="s">
        <v>93</v>
      </c>
      <c r="K31" s="17" t="str">
        <f t="shared" si="1"/>
        <v>-</v>
      </c>
      <c r="L31" s="11" t="s">
        <v>93</v>
      </c>
      <c r="M31" s="17" t="str">
        <f t="shared" ref="M31:O31" si="6">IF(L31="-","-",L31/$G31)</f>
        <v>-</v>
      </c>
      <c r="N31" s="11" t="s">
        <v>93</v>
      </c>
      <c r="O31" s="17" t="str">
        <f t="shared" si="6"/>
        <v>-</v>
      </c>
      <c r="P31" s="11" t="s">
        <v>93</v>
      </c>
      <c r="Q31" s="20" t="str">
        <f t="shared" ref="Q31" si="7">IF(P31="-","-",P31/$G31)</f>
        <v>-</v>
      </c>
    </row>
    <row r="32" spans="2:17" ht="18.75" customHeight="1" x14ac:dyDescent="0.25">
      <c r="B32" s="8" t="s">
        <v>6</v>
      </c>
      <c r="C32" s="10">
        <v>60</v>
      </c>
      <c r="D32" s="22">
        <v>60</v>
      </c>
      <c r="E32" s="17">
        <f t="shared" si="0"/>
        <v>1</v>
      </c>
      <c r="F32" s="39"/>
      <c r="G32" s="41">
        <v>0</v>
      </c>
      <c r="H32" s="18" t="s">
        <v>93</v>
      </c>
      <c r="I32" s="13" t="str">
        <f t="shared" si="1"/>
        <v>-</v>
      </c>
      <c r="J32" s="11" t="s">
        <v>93</v>
      </c>
      <c r="K32" s="17" t="str">
        <f t="shared" si="1"/>
        <v>-</v>
      </c>
      <c r="L32" s="11" t="s">
        <v>93</v>
      </c>
      <c r="M32" s="17" t="str">
        <f t="shared" ref="M32:O32" si="8">IF(L32="-","-",L32/$G32)</f>
        <v>-</v>
      </c>
      <c r="N32" s="11" t="s">
        <v>93</v>
      </c>
      <c r="O32" s="17" t="str">
        <f t="shared" si="8"/>
        <v>-</v>
      </c>
      <c r="P32" s="11" t="s">
        <v>93</v>
      </c>
      <c r="Q32" s="20" t="str">
        <f t="shared" ref="Q32" si="9">IF(P32="-","-",P32/$G32)</f>
        <v>-</v>
      </c>
    </row>
    <row r="33" spans="2:17" ht="18.75" customHeight="1" x14ac:dyDescent="0.25">
      <c r="B33" s="8" t="s">
        <v>7</v>
      </c>
      <c r="C33" s="10">
        <v>60</v>
      </c>
      <c r="D33" s="22">
        <v>58</v>
      </c>
      <c r="E33" s="17">
        <f t="shared" si="0"/>
        <v>0.96666666666666667</v>
      </c>
      <c r="F33" s="39"/>
      <c r="G33" s="41">
        <v>2</v>
      </c>
      <c r="H33" s="18" t="s">
        <v>93</v>
      </c>
      <c r="I33" s="13" t="str">
        <f t="shared" si="1"/>
        <v>-</v>
      </c>
      <c r="J33" s="11">
        <v>2</v>
      </c>
      <c r="K33" s="17">
        <f t="shared" si="1"/>
        <v>1</v>
      </c>
      <c r="L33" s="11" t="s">
        <v>93</v>
      </c>
      <c r="M33" s="17" t="str">
        <f t="shared" ref="M33:O33" si="10">IF(L33="-","-",L33/$G33)</f>
        <v>-</v>
      </c>
      <c r="N33" s="11" t="s">
        <v>93</v>
      </c>
      <c r="O33" s="17" t="str">
        <f t="shared" si="10"/>
        <v>-</v>
      </c>
      <c r="P33" s="11" t="s">
        <v>93</v>
      </c>
      <c r="Q33" s="20" t="str">
        <f t="shared" ref="Q33" si="11">IF(P33="-","-",P33/$G33)</f>
        <v>-</v>
      </c>
    </row>
    <row r="34" spans="2:17" ht="18.75" customHeight="1" x14ac:dyDescent="0.25">
      <c r="B34" s="8" t="s">
        <v>8</v>
      </c>
      <c r="C34" s="10">
        <v>60</v>
      </c>
      <c r="D34" s="22">
        <v>60</v>
      </c>
      <c r="E34" s="17">
        <f t="shared" si="0"/>
        <v>1</v>
      </c>
      <c r="F34" s="39"/>
      <c r="G34" s="41">
        <v>0</v>
      </c>
      <c r="H34" s="18" t="s">
        <v>93</v>
      </c>
      <c r="I34" s="13" t="str">
        <f t="shared" si="1"/>
        <v>-</v>
      </c>
      <c r="J34" s="11" t="s">
        <v>93</v>
      </c>
      <c r="K34" s="17" t="str">
        <f t="shared" si="1"/>
        <v>-</v>
      </c>
      <c r="L34" s="11" t="s">
        <v>93</v>
      </c>
      <c r="M34" s="17" t="str">
        <f t="shared" ref="M34:O34" si="12">IF(L34="-","-",L34/$G34)</f>
        <v>-</v>
      </c>
      <c r="N34" s="11" t="s">
        <v>93</v>
      </c>
      <c r="O34" s="17" t="str">
        <f t="shared" si="12"/>
        <v>-</v>
      </c>
      <c r="P34" s="11" t="s">
        <v>93</v>
      </c>
      <c r="Q34" s="20" t="str">
        <f t="shared" ref="Q34" si="13">IF(P34="-","-",P34/$G34)</f>
        <v>-</v>
      </c>
    </row>
    <row r="35" spans="2:17" ht="18.75" customHeight="1" x14ac:dyDescent="0.25">
      <c r="B35" s="8" t="s">
        <v>9</v>
      </c>
      <c r="C35" s="10">
        <v>60</v>
      </c>
      <c r="D35" s="22">
        <v>60</v>
      </c>
      <c r="E35" s="17">
        <f t="shared" si="0"/>
        <v>1</v>
      </c>
      <c r="F35" s="39"/>
      <c r="G35" s="41">
        <v>0</v>
      </c>
      <c r="H35" s="18" t="s">
        <v>93</v>
      </c>
      <c r="I35" s="13" t="str">
        <f t="shared" si="1"/>
        <v>-</v>
      </c>
      <c r="J35" s="11" t="s">
        <v>93</v>
      </c>
      <c r="K35" s="17" t="str">
        <f t="shared" si="1"/>
        <v>-</v>
      </c>
      <c r="L35" s="11" t="s">
        <v>93</v>
      </c>
      <c r="M35" s="17" t="str">
        <f t="shared" ref="M35:O35" si="14">IF(L35="-","-",L35/$G35)</f>
        <v>-</v>
      </c>
      <c r="N35" s="11" t="s">
        <v>93</v>
      </c>
      <c r="O35" s="17" t="str">
        <f t="shared" si="14"/>
        <v>-</v>
      </c>
      <c r="P35" s="11" t="s">
        <v>93</v>
      </c>
      <c r="Q35" s="20" t="str">
        <f t="shared" ref="Q35" si="15">IF(P35="-","-",P35/$G35)</f>
        <v>-</v>
      </c>
    </row>
    <row r="36" spans="2:17" ht="18.75" customHeight="1" x14ac:dyDescent="0.25">
      <c r="B36" s="8" t="s">
        <v>10</v>
      </c>
      <c r="C36" s="10">
        <v>60</v>
      </c>
      <c r="D36" s="22">
        <v>60</v>
      </c>
      <c r="E36" s="17">
        <f t="shared" si="0"/>
        <v>1</v>
      </c>
      <c r="F36" s="39"/>
      <c r="G36" s="41">
        <v>0</v>
      </c>
      <c r="H36" s="18" t="s">
        <v>93</v>
      </c>
      <c r="I36" s="13" t="str">
        <f t="shared" si="1"/>
        <v>-</v>
      </c>
      <c r="J36" s="11" t="s">
        <v>93</v>
      </c>
      <c r="K36" s="17" t="str">
        <f t="shared" si="1"/>
        <v>-</v>
      </c>
      <c r="L36" s="11" t="s">
        <v>93</v>
      </c>
      <c r="M36" s="17" t="str">
        <f t="shared" ref="M36:O36" si="16">IF(L36="-","-",L36/$G36)</f>
        <v>-</v>
      </c>
      <c r="N36" s="11" t="s">
        <v>93</v>
      </c>
      <c r="O36" s="17" t="str">
        <f t="shared" si="16"/>
        <v>-</v>
      </c>
      <c r="P36" s="11" t="s">
        <v>93</v>
      </c>
      <c r="Q36" s="20" t="str">
        <f t="shared" ref="Q36" si="17">IF(P36="-","-",P36/$G36)</f>
        <v>-</v>
      </c>
    </row>
    <row r="37" spans="2:17" ht="18.75" customHeight="1" x14ac:dyDescent="0.25">
      <c r="B37" s="8" t="s">
        <v>11</v>
      </c>
      <c r="C37" s="10">
        <v>60</v>
      </c>
      <c r="D37" s="22">
        <v>59</v>
      </c>
      <c r="E37" s="17">
        <f t="shared" si="0"/>
        <v>0.98333333333333328</v>
      </c>
      <c r="F37" s="39"/>
      <c r="G37" s="41">
        <v>1</v>
      </c>
      <c r="H37" s="18" t="s">
        <v>93</v>
      </c>
      <c r="I37" s="13" t="str">
        <f t="shared" si="1"/>
        <v>-</v>
      </c>
      <c r="J37" s="11" t="s">
        <v>93</v>
      </c>
      <c r="K37" s="17" t="str">
        <f t="shared" si="1"/>
        <v>-</v>
      </c>
      <c r="L37" s="11">
        <v>1</v>
      </c>
      <c r="M37" s="17">
        <f t="shared" ref="M37:O37" si="18">IF(L37="-","-",L37/$G37)</f>
        <v>1</v>
      </c>
      <c r="N37" s="11" t="s">
        <v>93</v>
      </c>
      <c r="O37" s="17" t="str">
        <f t="shared" si="18"/>
        <v>-</v>
      </c>
      <c r="P37" s="11" t="s">
        <v>93</v>
      </c>
      <c r="Q37" s="20" t="str">
        <f t="shared" ref="Q37" si="19">IF(P37="-","-",P37/$G37)</f>
        <v>-</v>
      </c>
    </row>
    <row r="38" spans="2:17" ht="18.75" customHeight="1" x14ac:dyDescent="0.25">
      <c r="B38" s="14" t="s">
        <v>13</v>
      </c>
      <c r="C38" s="51">
        <f>SUM(C28:C37)</f>
        <v>600</v>
      </c>
      <c r="D38" s="52">
        <f>SUM(D28:D37)</f>
        <v>595</v>
      </c>
      <c r="E38" s="53">
        <f t="shared" si="0"/>
        <v>0.9916666666666667</v>
      </c>
      <c r="F38" s="54"/>
      <c r="G38" s="59">
        <f>SUM(G28:G37)</f>
        <v>5</v>
      </c>
      <c r="H38" s="60" t="s">
        <v>93</v>
      </c>
      <c r="I38" s="61" t="str">
        <f t="shared" si="1"/>
        <v>-</v>
      </c>
      <c r="J38" s="57">
        <f>SUM(J28:J37)</f>
        <v>3</v>
      </c>
      <c r="K38" s="53">
        <f t="shared" si="1"/>
        <v>0.6</v>
      </c>
      <c r="L38" s="57">
        <f>SUM(L28:L37)</f>
        <v>2</v>
      </c>
      <c r="M38" s="53">
        <f t="shared" ref="M38:O38" si="20">IF(L38="-","-",L38/$G38)</f>
        <v>0.4</v>
      </c>
      <c r="N38" s="57" t="s">
        <v>93</v>
      </c>
      <c r="O38" s="53" t="str">
        <f t="shared" si="20"/>
        <v>-</v>
      </c>
      <c r="P38" s="57" t="s">
        <v>93</v>
      </c>
      <c r="Q38" s="58" t="str">
        <f t="shared" ref="Q38" si="21">IF(P38="-","-",P38/$G38)</f>
        <v>-</v>
      </c>
    </row>
    <row r="39" spans="2:17" ht="30" customHeight="1" x14ac:dyDescent="0.25">
      <c r="B39" s="114" t="s">
        <v>151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</row>
  </sheetData>
  <mergeCells count="29">
    <mergeCell ref="B2:Q2"/>
    <mergeCell ref="B4:Q4"/>
    <mergeCell ref="G5:Q5"/>
    <mergeCell ref="C5:E5"/>
    <mergeCell ref="C25:E25"/>
    <mergeCell ref="B22:Q22"/>
    <mergeCell ref="B24:Q24"/>
    <mergeCell ref="G25:Q25"/>
    <mergeCell ref="B23:Q23"/>
    <mergeCell ref="L6:M6"/>
    <mergeCell ref="N6:O6"/>
    <mergeCell ref="P6:Q6"/>
    <mergeCell ref="B19:Q19"/>
    <mergeCell ref="H6:I6"/>
    <mergeCell ref="G6:G7"/>
    <mergeCell ref="B6:B7"/>
    <mergeCell ref="C6:C7"/>
    <mergeCell ref="D6:E6"/>
    <mergeCell ref="J6:K6"/>
    <mergeCell ref="L26:M26"/>
    <mergeCell ref="N26:O26"/>
    <mergeCell ref="P26:Q26"/>
    <mergeCell ref="B39:Q39"/>
    <mergeCell ref="G26:G27"/>
    <mergeCell ref="B26:B27"/>
    <mergeCell ref="C26:C27"/>
    <mergeCell ref="D26:E26"/>
    <mergeCell ref="J26:K26"/>
    <mergeCell ref="H26:I26"/>
  </mergeCells>
  <phoneticPr fontId="2" type="noConversion"/>
  <pageMargins left="0.7" right="0.7" top="0.75" bottom="0.75" header="0.3" footer="0.3"/>
  <ignoredErrors>
    <ignoredError sqref="L38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3cdae7-58e9-463a-80c4-ff1f1a52caeb" xsi:nil="true"/>
    <lcf76f155ced4ddcb4097134ff3c332f xmlns="7a2ce8f2-2204-4367-a41c-b735e7c03037">
      <Terms xmlns="http://schemas.microsoft.com/office/infopath/2007/PartnerControls"/>
    </lcf76f155ced4ddcb4097134ff3c332f>
    <Person xmlns="7a2ce8f2-2204-4367-a41c-b735e7c03037">
      <UserInfo>
        <DisplayName/>
        <AccountId xsi:nil="true"/>
        <AccountType/>
      </UserInfo>
    </Perso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1AF2F54683D48B47D51E7C5C20D0A" ma:contentTypeVersion="21" ma:contentTypeDescription="Create a new document." ma:contentTypeScope="" ma:versionID="6c3ec6b3112fff6afcb2e1bceac7318f">
  <xsd:schema xmlns:xsd="http://www.w3.org/2001/XMLSchema" xmlns:xs="http://www.w3.org/2001/XMLSchema" xmlns:p="http://schemas.microsoft.com/office/2006/metadata/properties" xmlns:ns2="7a2ce8f2-2204-4367-a41c-b735e7c03037" xmlns:ns3="f53cdae7-58e9-463a-80c4-ff1f1a52caeb" targetNamespace="http://schemas.microsoft.com/office/2006/metadata/properties" ma:root="true" ma:fieldsID="1733b412cddd9f821d661af390973bad" ns2:_="" ns3:_="">
    <xsd:import namespace="7a2ce8f2-2204-4367-a41c-b735e7c03037"/>
    <xsd:import namespace="f53cdae7-58e9-463a-80c4-ff1f1a52c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e8f2-2204-4367-a41c-b735e7c03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f481388-e4f2-439f-bf9b-297394910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6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cdae7-58e9-463a-80c4-ff1f1a52c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0ac432-b52e-4b43-bc4d-225ae3d48219}" ma:internalName="TaxCatchAll" ma:showField="CatchAllData" ma:web="f53cdae7-58e9-463a-80c4-ff1f1a52c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F37811-5B39-40AB-A48E-E8D821EC7E51}">
  <ds:schemaRefs>
    <ds:schemaRef ds:uri="http://schemas.microsoft.com/office/2006/metadata/properties"/>
    <ds:schemaRef ds:uri="http://schemas.microsoft.com/office/infopath/2007/PartnerControls"/>
    <ds:schemaRef ds:uri="f53cdae7-58e9-463a-80c4-ff1f1a52caeb"/>
    <ds:schemaRef ds:uri="7a2ce8f2-2204-4367-a41c-b735e7c03037"/>
  </ds:schemaRefs>
</ds:datastoreItem>
</file>

<file path=customXml/itemProps2.xml><?xml version="1.0" encoding="utf-8"?>
<ds:datastoreItem xmlns:ds="http://schemas.openxmlformats.org/officeDocument/2006/customXml" ds:itemID="{3B3296EB-6EE8-4120-9EBF-72BCE60350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190C49-C990-40CD-A456-8932945E27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ce8f2-2204-4367-a41c-b735e7c03037"/>
    <ds:schemaRef ds:uri="f53cdae7-58e9-463a-80c4-ff1f1a52c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ITN distn outcomes - 1+ ITNs</vt:lpstr>
      <vt:lpstr>ITN distn outcomes - correct</vt:lpstr>
      <vt:lpstr>Current ITN supply</vt:lpstr>
      <vt:lpstr>ITN population access</vt:lpstr>
      <vt:lpstr>ITN use</vt:lpstr>
      <vt:lpstr>ITN use - reasons for non use</vt:lpstr>
      <vt:lpstr>ITN distribution info sources</vt:lpstr>
      <vt:lpstr>ITN SBC exposure</vt:lpstr>
      <vt:lpstr>Lot classification</vt:lpstr>
      <vt:lpstr>Annex - HHR 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Poyer  | Tropical Health</dc:creator>
  <cp:lastModifiedBy>Steve Poyer  | Tropical Health</cp:lastModifiedBy>
  <dcterms:created xsi:type="dcterms:W3CDTF">2025-05-06T13:05:07Z</dcterms:created>
  <dcterms:modified xsi:type="dcterms:W3CDTF">2026-01-21T13:47:03Z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0x010100BF11AF2F54683D48B47D51E7C5C20D0A</vt:lpwstr>
  </property>
  <property fmtid="{D5CDD505-2E9C-101B-9397-08002B2CF9AE}" pid="3" name="MediaServiceImageTags">
    <vt:lpwstr/>
  </property>
</Properties>
</file>