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opichealthcom.sharepoint.com/sites/Projects77/Projects  Open/C033 - OPITACA/60 - Implementation/WS3 - Data and cLQAS/TH adaptable tools/AMP toolkit/amp-clqas-toolkit/Dummy tables/"/>
    </mc:Choice>
  </mc:AlternateContent>
  <xr:revisionPtr revIDLastSave="3066" documentId="6_{4C8E3B7F-99FB-4B5D-A4B6-7762B8337465}" xr6:coauthVersionLast="47" xr6:coauthVersionMax="47" xr10:uidLastSave="{84ADA112-01C6-478E-BBC3-0A79B7E40BD7}"/>
  <bookViews>
    <workbookView xWindow="-110" yWindow="-110" windowWidth="19420" windowHeight="10300" tabRatio="869" firstSheet="7" activeTab="10" xr2:uid="{C6888998-64C4-4FB1-A8CF-30DA95DD3E6B}"/>
  </bookViews>
  <sheets>
    <sheet name="Table 1 Completeness" sheetId="4" r:id="rId1"/>
    <sheet name="Table 2 Error line list" sheetId="5" r:id="rId2"/>
    <sheet name="Table 3 Trend in total errors" sheetId="6" r:id="rId3"/>
    <sheet name="Table 4 Errors by district" sheetId="7" r:id="rId4"/>
    <sheet name="Table 5 Errors by region" sheetId="8" r:id="rId5"/>
    <sheet name="Map of errors by district" sheetId="11" r:id="rId6"/>
    <sheet name="Tab7 Error reasons by district" sheetId="9" r:id="rId7"/>
    <sheet name="Table 8 Error reasons by region" sheetId="10" r:id="rId8"/>
    <sheet name="Tab9 Errors - campaign summary" sheetId="12" r:id="rId9"/>
    <sheet name="Tab 10 Error reasons - summary" sheetId="13" r:id="rId10"/>
    <sheet name="Lot classification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3" l="1"/>
  <c r="K9" i="13"/>
  <c r="E37" i="10"/>
  <c r="AD38" i="9"/>
  <c r="AC38" i="9"/>
  <c r="AB28" i="9" l="1"/>
  <c r="AB29" i="9"/>
  <c r="AB30" i="9"/>
  <c r="AB31" i="9"/>
  <c r="AB32" i="9"/>
  <c r="AB33" i="9"/>
  <c r="AB34" i="9"/>
  <c r="AB35" i="9"/>
  <c r="AB36" i="9"/>
  <c r="AB37" i="9"/>
  <c r="S36" i="10"/>
  <c r="Y36" i="10"/>
  <c r="AB35" i="10"/>
  <c r="AB34" i="10"/>
  <c r="AB33" i="10"/>
  <c r="AB32" i="10"/>
  <c r="AB31" i="10"/>
  <c r="AB30" i="10"/>
  <c r="AB29" i="10"/>
  <c r="Z35" i="10"/>
  <c r="Z34" i="10"/>
  <c r="Z33" i="10"/>
  <c r="Z32" i="10"/>
  <c r="Z31" i="10"/>
  <c r="Z30" i="10"/>
  <c r="Z29" i="10"/>
  <c r="X35" i="10"/>
  <c r="X34" i="10"/>
  <c r="X33" i="10"/>
  <c r="X32" i="10"/>
  <c r="X31" i="10"/>
  <c r="X30" i="10"/>
  <c r="X29" i="10"/>
  <c r="V35" i="10"/>
  <c r="V34" i="10"/>
  <c r="V33" i="10"/>
  <c r="V32" i="10"/>
  <c r="V31" i="10"/>
  <c r="V30" i="10"/>
  <c r="V29" i="10"/>
  <c r="T35" i="10"/>
  <c r="T34" i="10"/>
  <c r="T33" i="10"/>
  <c r="T32" i="10"/>
  <c r="T31" i="10"/>
  <c r="T30" i="10"/>
  <c r="T29" i="10"/>
  <c r="Z37" i="9"/>
  <c r="Z36" i="9"/>
  <c r="Z35" i="9"/>
  <c r="Z34" i="9"/>
  <c r="Z33" i="9"/>
  <c r="Z32" i="9"/>
  <c r="Z31" i="9"/>
  <c r="Z30" i="9"/>
  <c r="Z29" i="9"/>
  <c r="Z28" i="9"/>
  <c r="X37" i="9"/>
  <c r="X36" i="9"/>
  <c r="X35" i="9"/>
  <c r="X34" i="9"/>
  <c r="X33" i="9"/>
  <c r="X32" i="9"/>
  <c r="X31" i="9"/>
  <c r="X30" i="9"/>
  <c r="X29" i="9"/>
  <c r="X28" i="9"/>
  <c r="V37" i="9"/>
  <c r="V36" i="9"/>
  <c r="V35" i="9"/>
  <c r="V34" i="9"/>
  <c r="V33" i="9"/>
  <c r="V32" i="9"/>
  <c r="V31" i="9"/>
  <c r="V30" i="9"/>
  <c r="V29" i="9"/>
  <c r="V28" i="9"/>
  <c r="T37" i="9"/>
  <c r="T36" i="9"/>
  <c r="T35" i="9"/>
  <c r="T34" i="9"/>
  <c r="T33" i="9"/>
  <c r="T32" i="9"/>
  <c r="T31" i="9"/>
  <c r="T30" i="9"/>
  <c r="T29" i="9"/>
  <c r="T28" i="9"/>
  <c r="AD37" i="9"/>
  <c r="AD36" i="9"/>
  <c r="AD35" i="9"/>
  <c r="AD34" i="9"/>
  <c r="AD33" i="9"/>
  <c r="AD32" i="9"/>
  <c r="AD31" i="9"/>
  <c r="AD30" i="9"/>
  <c r="AD29" i="9"/>
  <c r="AD28" i="9"/>
  <c r="AC28" i="9"/>
  <c r="U38" i="9"/>
  <c r="AB38" i="9"/>
  <c r="Z38" i="9"/>
  <c r="X38" i="9"/>
  <c r="V38" i="9"/>
  <c r="T38" i="9"/>
  <c r="AA36" i="10"/>
  <c r="W36" i="10"/>
  <c r="U36" i="10"/>
  <c r="R36" i="10"/>
  <c r="AC35" i="10"/>
  <c r="AD35" i="10" s="1"/>
  <c r="AC34" i="10"/>
  <c r="AD34" i="10" s="1"/>
  <c r="AC33" i="10"/>
  <c r="AD33" i="10" s="1"/>
  <c r="AC32" i="10"/>
  <c r="AD32" i="10" s="1"/>
  <c r="AC31" i="10"/>
  <c r="AD31" i="10" s="1"/>
  <c r="AC30" i="10"/>
  <c r="AD30" i="10" s="1"/>
  <c r="AC29" i="10"/>
  <c r="AA38" i="9"/>
  <c r="Y38" i="9"/>
  <c r="W38" i="9"/>
  <c r="S38" i="9"/>
  <c r="R38" i="9"/>
  <c r="AC37" i="9"/>
  <c r="AC36" i="9"/>
  <c r="AC35" i="9"/>
  <c r="AC34" i="9"/>
  <c r="AC33" i="9"/>
  <c r="AC32" i="9"/>
  <c r="AC31" i="9"/>
  <c r="AC30" i="9"/>
  <c r="AC29" i="9"/>
  <c r="H15" i="14"/>
  <c r="H14" i="14"/>
  <c r="H13" i="14"/>
  <c r="H12" i="14"/>
  <c r="H11" i="14"/>
  <c r="H10" i="14"/>
  <c r="H9" i="14"/>
  <c r="H8" i="14"/>
  <c r="H7" i="14"/>
  <c r="H6" i="14"/>
  <c r="K18" i="13"/>
  <c r="J18" i="13"/>
  <c r="K17" i="13"/>
  <c r="J17" i="13"/>
  <c r="K16" i="13"/>
  <c r="J16" i="13"/>
  <c r="K15" i="13"/>
  <c r="J15" i="13"/>
  <c r="K14" i="13"/>
  <c r="J14" i="13"/>
  <c r="K13" i="13"/>
  <c r="J13" i="13"/>
  <c r="K12" i="13"/>
  <c r="J12" i="13"/>
  <c r="K11" i="13"/>
  <c r="J11" i="13"/>
  <c r="J10" i="13"/>
  <c r="J9" i="13"/>
  <c r="J8" i="13"/>
  <c r="J7" i="13"/>
  <c r="I19" i="12"/>
  <c r="G19" i="12"/>
  <c r="E19" i="12"/>
  <c r="D36" i="10"/>
  <c r="H32" i="8"/>
  <c r="G32" i="8"/>
  <c r="D32" i="8"/>
  <c r="C32" i="8"/>
  <c r="L36" i="10"/>
  <c r="J36" i="10"/>
  <c r="H36" i="10"/>
  <c r="F36" i="10"/>
  <c r="C36" i="10"/>
  <c r="N35" i="10"/>
  <c r="O35" i="10" s="1"/>
  <c r="M35" i="10"/>
  <c r="K35" i="10"/>
  <c r="I35" i="10"/>
  <c r="G35" i="10"/>
  <c r="E35" i="10"/>
  <c r="N34" i="10"/>
  <c r="O34" i="10" s="1"/>
  <c r="M34" i="10"/>
  <c r="K34" i="10"/>
  <c r="I34" i="10"/>
  <c r="G34" i="10"/>
  <c r="E34" i="10"/>
  <c r="N33" i="10"/>
  <c r="O33" i="10" s="1"/>
  <c r="M33" i="10"/>
  <c r="K33" i="10"/>
  <c r="I33" i="10"/>
  <c r="G33" i="10"/>
  <c r="E33" i="10"/>
  <c r="N32" i="10"/>
  <c r="O32" i="10" s="1"/>
  <c r="M32" i="10"/>
  <c r="K32" i="10"/>
  <c r="I32" i="10"/>
  <c r="G32" i="10"/>
  <c r="E32" i="10"/>
  <c r="N31" i="10"/>
  <c r="O31" i="10" s="1"/>
  <c r="M31" i="10"/>
  <c r="K31" i="10"/>
  <c r="I31" i="10"/>
  <c r="G31" i="10"/>
  <c r="E31" i="10"/>
  <c r="N30" i="10"/>
  <c r="O30" i="10" s="1"/>
  <c r="M30" i="10"/>
  <c r="K30" i="10"/>
  <c r="I30" i="10"/>
  <c r="G30" i="10"/>
  <c r="E30" i="10"/>
  <c r="N29" i="10"/>
  <c r="O29" i="10" s="1"/>
  <c r="M29" i="10"/>
  <c r="K29" i="10"/>
  <c r="I29" i="10"/>
  <c r="G29" i="10"/>
  <c r="E29" i="10"/>
  <c r="N37" i="9"/>
  <c r="O37" i="9" s="1"/>
  <c r="N36" i="9"/>
  <c r="O36" i="9" s="1"/>
  <c r="N35" i="9"/>
  <c r="O35" i="9" s="1"/>
  <c r="N34" i="9"/>
  <c r="O34" i="9" s="1"/>
  <c r="N33" i="9"/>
  <c r="O33" i="9" s="1"/>
  <c r="N32" i="9"/>
  <c r="O32" i="9" s="1"/>
  <c r="N31" i="9"/>
  <c r="O31" i="9" s="1"/>
  <c r="N30" i="9"/>
  <c r="O30" i="9" s="1"/>
  <c r="N29" i="9"/>
  <c r="O29" i="9" s="1"/>
  <c r="N28" i="9"/>
  <c r="M37" i="9"/>
  <c r="M36" i="9"/>
  <c r="M35" i="9"/>
  <c r="M34" i="9"/>
  <c r="M33" i="9"/>
  <c r="M32" i="9"/>
  <c r="M31" i="9"/>
  <c r="M30" i="9"/>
  <c r="M29" i="9"/>
  <c r="M28" i="9"/>
  <c r="K37" i="9"/>
  <c r="K36" i="9"/>
  <c r="K35" i="9"/>
  <c r="K34" i="9"/>
  <c r="K33" i="9"/>
  <c r="K32" i="9"/>
  <c r="K31" i="9"/>
  <c r="K30" i="9"/>
  <c r="K29" i="9"/>
  <c r="K28" i="9"/>
  <c r="I37" i="9"/>
  <c r="I36" i="9"/>
  <c r="I35" i="9"/>
  <c r="I34" i="9"/>
  <c r="I33" i="9"/>
  <c r="I32" i="9"/>
  <c r="I31" i="9"/>
  <c r="I30" i="9"/>
  <c r="I29" i="9"/>
  <c r="I28" i="9"/>
  <c r="G37" i="9"/>
  <c r="G36" i="9"/>
  <c r="G35" i="9"/>
  <c r="G34" i="9"/>
  <c r="G33" i="9"/>
  <c r="G32" i="9"/>
  <c r="G31" i="9"/>
  <c r="G30" i="9"/>
  <c r="G29" i="9"/>
  <c r="G28" i="9"/>
  <c r="E37" i="9"/>
  <c r="E36" i="9"/>
  <c r="E35" i="9"/>
  <c r="E34" i="9"/>
  <c r="E33" i="9"/>
  <c r="E32" i="9"/>
  <c r="E31" i="9"/>
  <c r="E30" i="9"/>
  <c r="E29" i="9"/>
  <c r="E28" i="9"/>
  <c r="L38" i="9"/>
  <c r="J38" i="9"/>
  <c r="H38" i="9"/>
  <c r="F38" i="9"/>
  <c r="D38" i="9"/>
  <c r="C38" i="9"/>
  <c r="AB36" i="10" l="1"/>
  <c r="T36" i="10"/>
  <c r="Z36" i="10"/>
  <c r="V36" i="10"/>
  <c r="X36" i="10"/>
  <c r="AC36" i="10"/>
  <c r="AB37" i="10" s="1"/>
  <c r="AD29" i="10"/>
  <c r="E36" i="10"/>
  <c r="I36" i="10"/>
  <c r="G36" i="10"/>
  <c r="K36" i="10"/>
  <c r="M36" i="10"/>
  <c r="N36" i="10"/>
  <c r="K37" i="10" s="1"/>
  <c r="I38" i="9"/>
  <c r="G38" i="9"/>
  <c r="N38" i="9"/>
  <c r="O38" i="9" s="1"/>
  <c r="E38" i="9"/>
  <c r="M38" i="9"/>
  <c r="K38" i="9"/>
  <c r="O28" i="9"/>
  <c r="I32" i="8"/>
  <c r="E32" i="8"/>
  <c r="I31" i="8"/>
  <c r="E31" i="8"/>
  <c r="I30" i="8"/>
  <c r="E30" i="8"/>
  <c r="I29" i="8"/>
  <c r="E29" i="8"/>
  <c r="I28" i="8"/>
  <c r="E28" i="8"/>
  <c r="I27" i="8"/>
  <c r="E27" i="8"/>
  <c r="I26" i="8"/>
  <c r="E26" i="8"/>
  <c r="I25" i="8"/>
  <c r="E25" i="8"/>
  <c r="I39" i="7"/>
  <c r="I38" i="7"/>
  <c r="I37" i="7"/>
  <c r="I36" i="7"/>
  <c r="I35" i="7"/>
  <c r="I34" i="7"/>
  <c r="I33" i="7"/>
  <c r="I32" i="7"/>
  <c r="I31" i="7"/>
  <c r="I30" i="7"/>
  <c r="I29" i="7"/>
  <c r="E39" i="7"/>
  <c r="E38" i="7"/>
  <c r="E37" i="7"/>
  <c r="E36" i="7"/>
  <c r="E35" i="7"/>
  <c r="E34" i="7"/>
  <c r="E33" i="7"/>
  <c r="E32" i="7"/>
  <c r="E31" i="7"/>
  <c r="E30" i="7"/>
  <c r="E29" i="7"/>
  <c r="E24" i="6"/>
  <c r="E23" i="6"/>
  <c r="E22" i="6"/>
  <c r="E21" i="6"/>
  <c r="E20" i="6"/>
  <c r="E19" i="6"/>
  <c r="V37" i="10" l="1"/>
  <c r="X37" i="10"/>
  <c r="I37" i="10"/>
  <c r="AD36" i="10"/>
  <c r="T37" i="10"/>
  <c r="M37" i="10"/>
  <c r="Z37" i="10"/>
  <c r="G37" i="10"/>
  <c r="O36" i="10"/>
</calcChain>
</file>

<file path=xl/sharedStrings.xml><?xml version="1.0" encoding="utf-8"?>
<sst xmlns="http://schemas.openxmlformats.org/spreadsheetml/2006/main" count="540" uniqueCount="120">
  <si>
    <t>Region</t>
  </si>
  <si>
    <t>District</t>
  </si>
  <si>
    <t>HHs with data</t>
  </si>
  <si>
    <t>Region 1</t>
  </si>
  <si>
    <t>Region 2</t>
  </si>
  <si>
    <t>…</t>
  </si>
  <si>
    <t>District 1</t>
  </si>
  <si>
    <t>District 2</t>
  </si>
  <si>
    <t>District 3</t>
  </si>
  <si>
    <t>District 4</t>
  </si>
  <si>
    <t>District 5</t>
  </si>
  <si>
    <t>Yes</t>
  </si>
  <si>
    <t>No</t>
  </si>
  <si>
    <t>HHs with errors in
count of eligible persons</t>
  </si>
  <si>
    <t>Lot complete
(Y/N)</t>
  </si>
  <si>
    <t>Reason
(detail)</t>
  </si>
  <si>
    <t>Reason
(category)</t>
  </si>
  <si>
    <t>Eligible persons: assessment</t>
  </si>
  <si>
    <t>Eligible persons:
HHR</t>
  </si>
  <si>
    <t>District 6</t>
  </si>
  <si>
    <t>District 7</t>
  </si>
  <si>
    <t>District 8</t>
  </si>
  <si>
    <t>District 9</t>
  </si>
  <si>
    <t>District 10</t>
  </si>
  <si>
    <t>Cluster number within district</t>
  </si>
  <si>
    <t>HH number within cluster</t>
  </si>
  <si>
    <t>Col A</t>
  </si>
  <si>
    <t>Col B</t>
  </si>
  <si>
    <t>Col C</t>
  </si>
  <si>
    <t>Col D</t>
  </si>
  <si>
    <t>Col E</t>
  </si>
  <si>
    <t>Source of data:</t>
  </si>
  <si>
    <t>Recall</t>
  </si>
  <si>
    <t>Assessment HH roster</t>
  </si>
  <si>
    <t>Total residents is 3, but one arrived 1 month ago. Therefore, number of eligible persons is 2.</t>
  </si>
  <si>
    <t>Total persons was 3 at HHR, but only 2 at interview.</t>
  </si>
  <si>
    <t>HH definition not respected. HHR split family into two, yet only one HH by campaign rules.</t>
  </si>
  <si>
    <t>Total persons was 5 at HHR, but only 4 at interview re-count.</t>
  </si>
  <si>
    <t>Example of partially completed table</t>
  </si>
  <si>
    <t>Assessment day</t>
  </si>
  <si>
    <t>HHs with errors</t>
  </si>
  <si>
    <t>Percentage of HHs with errors</t>
  </si>
  <si>
    <t>Example of completed table</t>
  </si>
  <si>
    <r>
      <rPr>
        <b/>
        <sz val="10"/>
        <color theme="1"/>
        <rFont val="Aptos Narrow"/>
        <family val="2"/>
        <scheme val="minor"/>
      </rPr>
      <t xml:space="preserve">Lot definition: </t>
    </r>
    <r>
      <rPr>
        <sz val="10"/>
        <color theme="1"/>
        <rFont val="Aptos Narrow"/>
        <family val="2"/>
        <scheme val="minor"/>
      </rPr>
      <t>District</t>
    </r>
  </si>
  <si>
    <t>Total</t>
  </si>
  <si>
    <t>Assessment day results</t>
  </si>
  <si>
    <t>Cumulative results</t>
  </si>
  <si>
    <t>Number of HHs</t>
  </si>
  <si>
    <t>Percentage of HH</t>
  </si>
  <si>
    <t>Region 3</t>
  </si>
  <si>
    <t>Region 4</t>
  </si>
  <si>
    <t>Region 5</t>
  </si>
  <si>
    <t>Region 6</t>
  </si>
  <si>
    <t>Region 7</t>
  </si>
  <si>
    <t>HH inflated size</t>
  </si>
  <si>
    <t>Other reason(s)</t>
  </si>
  <si>
    <t>No.</t>
  </si>
  <si>
    <t>%</t>
  </si>
  <si>
    <t>Total errors</t>
  </si>
  <si>
    <t>Guidance for producing this output is provided in the R script template</t>
  </si>
  <si>
    <t>This worksheet is intentionally blank</t>
  </si>
  <si>
    <t>Assessment recount vs participant recall of HHR</t>
  </si>
  <si>
    <t>HHR higher than assessment</t>
  </si>
  <si>
    <t>HHR lower than assessment</t>
  </si>
  <si>
    <t>Data source</t>
  </si>
  <si>
    <r>
      <rPr>
        <b/>
        <sz val="10"/>
        <color theme="1"/>
        <rFont val="Aptos Narrow"/>
        <family val="2"/>
        <scheme val="minor"/>
      </rPr>
      <t xml:space="preserve">Lot definition: </t>
    </r>
    <r>
      <rPr>
        <sz val="10"/>
        <color theme="1"/>
        <rFont val="Aptos Narrow"/>
        <family val="2"/>
        <scheme val="minor"/>
      </rPr>
      <t>District
Percentage values are based on unweighted counts</t>
    </r>
  </si>
  <si>
    <r>
      <rPr>
        <b/>
        <sz val="10"/>
        <color theme="1"/>
        <rFont val="Aptos Narrow"/>
        <family val="2"/>
        <scheme val="minor"/>
      </rPr>
      <t>Lot definition</t>
    </r>
    <r>
      <rPr>
        <sz val="10"/>
        <color theme="1"/>
        <rFont val="Aptos Narrow"/>
        <family val="2"/>
        <scheme val="minor"/>
      </rPr>
      <t>:</t>
    </r>
    <r>
      <rPr>
        <b/>
        <sz val="10"/>
        <color theme="1"/>
        <rFont val="Aptos Narrow"/>
        <family val="2"/>
        <scheme val="minor"/>
      </rPr>
      <t xml:space="preserve"> </t>
    </r>
    <r>
      <rPr>
        <sz val="10"/>
        <color theme="1"/>
        <rFont val="Aptos Narrow"/>
        <family val="2"/>
        <scheme val="minor"/>
      </rPr>
      <t xml:space="preserve">District
</t>
    </r>
    <r>
      <rPr>
        <b/>
        <sz val="10"/>
        <color theme="1"/>
        <rFont val="Aptos Narrow"/>
        <family val="2"/>
        <scheme val="minor"/>
      </rPr>
      <t>Source of data</t>
    </r>
    <r>
      <rPr>
        <sz val="10"/>
        <color theme="1"/>
        <rFont val="Aptos Narrow"/>
        <family val="2"/>
        <scheme val="minor"/>
      </rPr>
      <t>: Assessment recount vs participant recall of HHR
Percentage values are based on unweighted counts</t>
    </r>
  </si>
  <si>
    <r>
      <rPr>
        <b/>
        <sz val="10"/>
        <color theme="1"/>
        <rFont val="Aptos Narrow"/>
        <family val="2"/>
        <scheme val="minor"/>
      </rPr>
      <t xml:space="preserve">Lot definition: </t>
    </r>
    <r>
      <rPr>
        <sz val="10"/>
        <color theme="1"/>
        <rFont val="Aptos Narrow"/>
        <family val="2"/>
        <scheme val="minor"/>
      </rPr>
      <t xml:space="preserve">District
</t>
    </r>
    <r>
      <rPr>
        <b/>
        <sz val="10"/>
        <color theme="1"/>
        <rFont val="Aptos Narrow"/>
        <family val="2"/>
        <scheme val="minor"/>
      </rPr>
      <t>Source of data</t>
    </r>
    <r>
      <rPr>
        <sz val="10"/>
        <color theme="1"/>
        <rFont val="Aptos Narrow"/>
        <family val="2"/>
        <scheme val="minor"/>
      </rPr>
      <t>: Assessment recount vs participant recall of HHR
Percentage values are based on unweighted counts</t>
    </r>
  </si>
  <si>
    <t>Total households assessed</t>
  </si>
  <si>
    <t>Household likely inflated number of eligible persons</t>
  </si>
  <si>
    <t>HHR did not follow HH definition</t>
  </si>
  <si>
    <t>HHR miscount, unknown reason</t>
  </si>
  <si>
    <t>HHR counted ineligible person(s) as eligible</t>
  </si>
  <si>
    <t>HHR definition did follow HH definition</t>
  </si>
  <si>
    <t>HHR counted eligible person(s) as ineligible</t>
  </si>
  <si>
    <t>% of total</t>
  </si>
  <si>
    <t>% of subgroup</t>
  </si>
  <si>
    <t>HHR miscounted based on eligibility</t>
  </si>
  <si>
    <t>Other reason</t>
  </si>
  <si>
    <r>
      <t xml:space="preserve">Households with matched HHR and assessment results
</t>
    </r>
    <r>
      <rPr>
        <i/>
        <sz val="11"/>
        <color theme="1"/>
        <rFont val="Aptos Narrow"/>
        <family val="2"/>
        <scheme val="minor"/>
      </rPr>
      <t>Correct count of eligible persons at HHR</t>
    </r>
  </si>
  <si>
    <r>
      <t xml:space="preserve">Households with unmatched HHR and assessment results
</t>
    </r>
    <r>
      <rPr>
        <i/>
        <sz val="11"/>
        <color theme="1"/>
        <rFont val="Aptos Narrow"/>
        <family val="2"/>
        <scheme val="minor"/>
      </rPr>
      <t>Incorrect count of eligible persons at HHR</t>
    </r>
  </si>
  <si>
    <t>Higher HHR count than assessment recount</t>
  </si>
  <si>
    <t>Lower HHR count than assessment recount</t>
  </si>
  <si>
    <r>
      <t xml:space="preserve">Matches
</t>
    </r>
    <r>
      <rPr>
        <i/>
        <sz val="11"/>
        <color theme="1"/>
        <rFont val="Aptos Narrow"/>
        <family val="2"/>
        <scheme val="minor"/>
      </rPr>
      <t>Correct count of eligible persons at HHR</t>
    </r>
  </si>
  <si>
    <r>
      <t xml:space="preserve">Mismatches
</t>
    </r>
    <r>
      <rPr>
        <i/>
        <sz val="11"/>
        <color theme="1"/>
        <rFont val="Aptos Narrow"/>
        <family val="2"/>
        <scheme val="minor"/>
      </rPr>
      <t>Incorrect count of eligible persons at HHR</t>
    </r>
  </si>
  <si>
    <r>
      <rPr>
        <b/>
        <sz val="10"/>
        <color theme="1"/>
        <rFont val="Aptos Narrow"/>
        <family val="2"/>
        <scheme val="minor"/>
      </rPr>
      <t xml:space="preserve">Lot definition: </t>
    </r>
    <r>
      <rPr>
        <sz val="10"/>
        <color theme="1"/>
        <rFont val="Aptos Narrow"/>
        <family val="2"/>
        <scheme val="minor"/>
      </rPr>
      <t xml:space="preserve">District
</t>
    </r>
    <r>
      <rPr>
        <b/>
        <sz val="10"/>
        <color theme="1"/>
        <rFont val="Aptos Narrow"/>
        <family val="2"/>
        <scheme val="minor"/>
      </rPr>
      <t>Source of data</t>
    </r>
    <r>
      <rPr>
        <sz val="10"/>
        <color theme="1"/>
        <rFont val="Aptos Narrow"/>
        <family val="2"/>
        <scheme val="minor"/>
      </rPr>
      <t>: Allocation rule applied to assessment recount vs participant recall of number of ITNs received
Percentage values are based on unweighted counts</t>
    </r>
  </si>
  <si>
    <t>Incorrect count of eligible persons at HHR</t>
  </si>
  <si>
    <t>Table template</t>
  </si>
  <si>
    <r>
      <rPr>
        <b/>
        <sz val="10"/>
        <color theme="1"/>
        <rFont val="Aptos Narrow"/>
        <family val="2"/>
        <scheme val="minor"/>
      </rPr>
      <t xml:space="preserve">Lot definition: </t>
    </r>
    <r>
      <rPr>
        <sz val="10"/>
        <color theme="1"/>
        <rFont val="Aptos Narrow"/>
        <family val="2"/>
        <scheme val="minor"/>
      </rPr>
      <t xml:space="preserve">District
</t>
    </r>
    <r>
      <rPr>
        <b/>
        <sz val="10"/>
        <color theme="1"/>
        <rFont val="Aptos Narrow"/>
        <family val="2"/>
        <scheme val="minor"/>
      </rPr>
      <t>Target number of lots in assessment</t>
    </r>
    <r>
      <rPr>
        <sz val="10"/>
        <color theme="1"/>
        <rFont val="Aptos Narrow"/>
        <family val="2"/>
        <scheme val="minor"/>
      </rPr>
      <t xml:space="preserve">: 98
</t>
    </r>
    <r>
      <rPr>
        <b/>
        <sz val="10"/>
        <color theme="1"/>
        <rFont val="Aptos Narrow"/>
        <family val="2"/>
        <scheme val="minor"/>
      </rPr>
      <t>Assessment design</t>
    </r>
    <r>
      <rPr>
        <sz val="10"/>
        <color theme="1"/>
        <rFont val="Aptos Narrow"/>
        <family val="2"/>
        <scheme val="minor"/>
      </rPr>
      <t xml:space="preserve">: 10 HHs per lot per day
</t>
    </r>
    <r>
      <rPr>
        <b/>
        <sz val="10"/>
        <color theme="1"/>
        <rFont val="Aptos Narrow"/>
        <family val="2"/>
        <scheme val="minor"/>
      </rPr>
      <t>Source of data</t>
    </r>
    <r>
      <rPr>
        <sz val="10"/>
        <color theme="1"/>
        <rFont val="Aptos Narrow"/>
        <family val="2"/>
        <scheme val="minor"/>
      </rPr>
      <t>: Assessment recount vs participant recall of HHR
Percentage values are based on unweighted counts</t>
    </r>
  </si>
  <si>
    <t>Among errors</t>
  </si>
  <si>
    <t>Number of HHs with incorrect HHR count
(Denom = 60 HHs)</t>
  </si>
  <si>
    <t>Classification</t>
  </si>
  <si>
    <r>
      <rPr>
        <b/>
        <sz val="11"/>
        <color theme="1"/>
        <rFont val="Aptos Narrow"/>
        <family val="2"/>
        <scheme val="minor"/>
      </rPr>
      <t>Data source:</t>
    </r>
    <r>
      <rPr>
        <sz val="11"/>
        <color theme="1"/>
        <rFont val="Aptos Narrow"/>
        <family val="2"/>
        <scheme val="minor"/>
      </rPr>
      <t xml:space="preserve">
Assessment recount vs participant recall of HHR</t>
    </r>
  </si>
  <si>
    <t>Table template (daily)</t>
  </si>
  <si>
    <t>Table template (cumulative)</t>
  </si>
  <si>
    <t>Example of completed table (daily)</t>
  </si>
  <si>
    <t>Example of completed table (cumulative)</t>
  </si>
  <si>
    <t>Name of district (lot)</t>
  </si>
  <si>
    <t>Output A6 is one or more map(s) of the count of HHR errors for a given assessment day</t>
  </si>
  <si>
    <t>HHR counted ineligible person as eligible</t>
  </si>
  <si>
    <r>
      <rPr>
        <b/>
        <sz val="11"/>
        <color theme="1"/>
        <rFont val="Aptos Narrow"/>
        <family val="2"/>
        <scheme val="minor"/>
      </rPr>
      <t>Decision rules for classification
(assuming 60 HH denominator):</t>
    </r>
    <r>
      <rPr>
        <sz val="11"/>
        <color theme="1"/>
        <rFont val="Aptos Narrow"/>
        <family val="2"/>
        <scheme val="minor"/>
      </rPr>
      <t xml:space="preserve">
0-3 failures = Good
4-8 failures = Uncertain
9+ failures = Inadequate</t>
    </r>
  </si>
  <si>
    <t>Table 1. Completeness and HHR errors by district
Assessment day:</t>
  </si>
  <si>
    <r>
      <t xml:space="preserve">Table 1. Completeness and HHR errors by district
Assessment day: </t>
    </r>
    <r>
      <rPr>
        <b/>
        <sz val="11"/>
        <color theme="7"/>
        <rFont val="Aptos Narrow"/>
        <family val="2"/>
        <scheme val="minor"/>
      </rPr>
      <t>1</t>
    </r>
  </si>
  <si>
    <r>
      <t xml:space="preserve">Table 2. Daily error and error reason line list
Assessment day: </t>
    </r>
    <r>
      <rPr>
        <b/>
        <sz val="11"/>
        <color theme="7"/>
        <rFont val="Aptos Narrow"/>
        <family val="2"/>
        <scheme val="minor"/>
      </rPr>
      <t>1</t>
    </r>
  </si>
  <si>
    <t>Table 3. Percentage of households with HHR errors, by assessment day</t>
  </si>
  <si>
    <t xml:space="preserve">Table 4. Percentage of households with HHR errors by district for a given region, daily and cumulative total
Region: 
Assessment day: </t>
  </si>
  <si>
    <r>
      <t xml:space="preserve">Table 4. Percentage of households with HHR errors by district for a given region, daily and cumulative total
Region: </t>
    </r>
    <r>
      <rPr>
        <b/>
        <sz val="11"/>
        <color theme="7"/>
        <rFont val="Aptos Narrow"/>
        <family val="2"/>
        <scheme val="minor"/>
      </rPr>
      <t>Region 1</t>
    </r>
    <r>
      <rPr>
        <b/>
        <sz val="11"/>
        <color theme="1"/>
        <rFont val="Aptos Narrow"/>
        <family val="2"/>
        <scheme val="minor"/>
      </rPr>
      <t xml:space="preserve">
Assessment day: </t>
    </r>
    <r>
      <rPr>
        <b/>
        <sz val="11"/>
        <color theme="7"/>
        <rFont val="Aptos Narrow"/>
        <family val="2"/>
        <scheme val="minor"/>
      </rPr>
      <t>Day 2</t>
    </r>
  </si>
  <si>
    <t xml:space="preserve">Table 5. Percentage of households with HHR errors by region, daily and cumulative total
Assessment day: </t>
  </si>
  <si>
    <r>
      <t xml:space="preserve">Table 5. Percentage of households with HHR errors by region, daily and cumulative total
Assessment day: </t>
    </r>
    <r>
      <rPr>
        <b/>
        <sz val="11"/>
        <color theme="7"/>
        <rFont val="Aptos Narrow"/>
        <family val="2"/>
        <scheme val="minor"/>
      </rPr>
      <t>Day 2</t>
    </r>
  </si>
  <si>
    <t xml:space="preserve">Table 7a. Distribution of HHR error reasons by district for a given region, daily
Region: 
Assessment day: </t>
  </si>
  <si>
    <t xml:space="preserve">Table 7b. Distribution of HHR error reasons by district for a given region, cumulative
Region: 
Assessment day: </t>
  </si>
  <si>
    <r>
      <t xml:space="preserve">Table 7b. Distribution of HHR error reasons by district for a given region, cumulative
Region: </t>
    </r>
    <r>
      <rPr>
        <b/>
        <sz val="11"/>
        <color theme="7"/>
        <rFont val="Aptos Narrow"/>
        <family val="2"/>
        <scheme val="minor"/>
      </rPr>
      <t>Region 1</t>
    </r>
    <r>
      <rPr>
        <b/>
        <sz val="11"/>
        <color theme="1"/>
        <rFont val="Aptos Narrow"/>
        <family val="2"/>
        <scheme val="minor"/>
      </rPr>
      <t xml:space="preserve">
Assessment day: </t>
    </r>
    <r>
      <rPr>
        <b/>
        <sz val="11"/>
        <color theme="7"/>
        <rFont val="Aptos Narrow"/>
        <family val="2"/>
        <scheme val="minor"/>
      </rPr>
      <t>Day 2</t>
    </r>
  </si>
  <si>
    <r>
      <t xml:space="preserve">Table 7a. Distribution of HHR error reasons by district for a given region, daily
Region: </t>
    </r>
    <r>
      <rPr>
        <b/>
        <sz val="11"/>
        <color theme="7"/>
        <rFont val="Aptos Narrow"/>
        <family val="2"/>
        <scheme val="minor"/>
      </rPr>
      <t>Region 1</t>
    </r>
    <r>
      <rPr>
        <b/>
        <sz val="11"/>
        <color theme="1"/>
        <rFont val="Aptos Narrow"/>
        <family val="2"/>
        <scheme val="minor"/>
      </rPr>
      <t xml:space="preserve">
Assessment day: </t>
    </r>
    <r>
      <rPr>
        <b/>
        <sz val="11"/>
        <color theme="7"/>
        <rFont val="Aptos Narrow"/>
        <family val="2"/>
        <scheme val="minor"/>
      </rPr>
      <t>Day 2</t>
    </r>
  </si>
  <si>
    <t xml:space="preserve">Table 8a. Distribution of HHR error reasons by region, daily
Assessment day: </t>
  </si>
  <si>
    <r>
      <t xml:space="preserve">Table 8a. Distribution of HHR error reasons by region, daily
Assessment day: </t>
    </r>
    <r>
      <rPr>
        <b/>
        <sz val="11"/>
        <color theme="7"/>
        <rFont val="Aptos Narrow"/>
        <family val="2"/>
        <scheme val="minor"/>
      </rPr>
      <t>Day 2</t>
    </r>
  </si>
  <si>
    <r>
      <t xml:space="preserve">Table 8b. Distribution of HHR error reasons by region, cumulative
Assessment day: </t>
    </r>
    <r>
      <rPr>
        <b/>
        <sz val="11"/>
        <color theme="7"/>
        <rFont val="Aptos Narrow"/>
        <family val="2"/>
        <scheme val="minor"/>
      </rPr>
      <t>Day 2</t>
    </r>
  </si>
  <si>
    <t xml:space="preserve">Table 8b. Distribution of HHR error reasons by region, cumulative
Assessment day: </t>
  </si>
  <si>
    <t>Table 9. Campaign assessment summary of total HHR errors and direction of error</t>
  </si>
  <si>
    <t>Table 10. Campaign summary of assessment outcomes and categorised reasons for errors</t>
  </si>
  <si>
    <t>Classification of lots based on correct count of eligible persons during HHR.
Region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</si>
</sst>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E8DE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0C6AD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0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9" xfId="0" applyBorder="1" applyAlignment="1">
      <alignment horizontal="right" wrapText="1" indent="3"/>
    </xf>
    <xf numFmtId="0" fontId="0" fillId="0" borderId="10" xfId="0" applyBorder="1" applyAlignment="1">
      <alignment horizontal="right" wrapText="1" indent="3"/>
    </xf>
    <xf numFmtId="0" fontId="0" fillId="2" borderId="0" xfId="0" applyFill="1"/>
    <xf numFmtId="0" fontId="0" fillId="0" borderId="12" xfId="0" applyBorder="1" applyAlignment="1">
      <alignment horizontal="right" wrapText="1" indent="3"/>
    </xf>
    <xf numFmtId="0" fontId="0" fillId="0" borderId="5" xfId="0" applyBorder="1" applyAlignment="1">
      <alignment horizontal="right" wrapText="1" indent="3"/>
    </xf>
    <xf numFmtId="0" fontId="0" fillId="0" borderId="7" xfId="0" applyBorder="1" applyAlignment="1">
      <alignment horizontal="right" wrapText="1" indent="3"/>
    </xf>
    <xf numFmtId="0" fontId="0" fillId="0" borderId="9" xfId="0" applyBorder="1" applyAlignment="1">
      <alignment horizontal="left" wrapText="1" indent="3"/>
    </xf>
    <xf numFmtId="0" fontId="0" fillId="0" borderId="4" xfId="0" applyBorder="1" applyAlignment="1">
      <alignment horizontal="left" wrapText="1" inden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10" fillId="3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right" wrapText="1" indent="2"/>
    </xf>
    <xf numFmtId="0" fontId="0" fillId="0" borderId="12" xfId="0" applyBorder="1" applyAlignment="1">
      <alignment horizontal="right" wrapText="1" indent="1"/>
    </xf>
    <xf numFmtId="0" fontId="0" fillId="0" borderId="12" xfId="0" applyBorder="1" applyAlignment="1">
      <alignment horizontal="left" wrapText="1" indent="1"/>
    </xf>
    <xf numFmtId="0" fontId="0" fillId="0" borderId="5" xfId="0" applyBorder="1" applyAlignment="1">
      <alignment horizontal="left" wrapText="1" indent="1"/>
    </xf>
    <xf numFmtId="0" fontId="0" fillId="0" borderId="9" xfId="0" applyBorder="1" applyAlignment="1">
      <alignment horizontal="right" wrapText="1" indent="2"/>
    </xf>
    <xf numFmtId="0" fontId="0" fillId="0" borderId="4" xfId="0" applyBorder="1" applyAlignment="1">
      <alignment horizontal="center" wrapText="1"/>
    </xf>
    <xf numFmtId="9" fontId="0" fillId="0" borderId="12" xfId="1" applyFont="1" applyBorder="1" applyAlignment="1">
      <alignment horizontal="right" wrapText="1" indent="3"/>
    </xf>
    <xf numFmtId="164" fontId="0" fillId="0" borderId="12" xfId="1" applyNumberFormat="1" applyFont="1" applyBorder="1" applyAlignment="1">
      <alignment horizontal="right" wrapText="1" indent="3"/>
    </xf>
    <xf numFmtId="9" fontId="0" fillId="0" borderId="5" xfId="1" applyFont="1" applyBorder="1" applyAlignment="1">
      <alignment horizontal="right" wrapText="1" indent="3"/>
    </xf>
    <xf numFmtId="164" fontId="0" fillId="0" borderId="5" xfId="1" applyNumberFormat="1" applyFont="1" applyBorder="1" applyAlignment="1">
      <alignment horizontal="right" wrapText="1" indent="3"/>
    </xf>
    <xf numFmtId="0" fontId="1" fillId="0" borderId="4" xfId="0" applyFont="1" applyBorder="1" applyAlignment="1">
      <alignment horizontal="left" wrapText="1" indent="1"/>
    </xf>
    <xf numFmtId="0" fontId="1" fillId="3" borderId="3" xfId="0" applyFont="1" applyFill="1" applyBorder="1" applyAlignment="1">
      <alignment horizontal="center" wrapText="1"/>
    </xf>
    <xf numFmtId="0" fontId="0" fillId="3" borderId="9" xfId="0" applyFill="1" applyBorder="1" applyAlignment="1">
      <alignment horizontal="right" wrapText="1" indent="3"/>
    </xf>
    <xf numFmtId="9" fontId="0" fillId="0" borderId="9" xfId="1" applyFont="1" applyBorder="1" applyAlignment="1">
      <alignment horizontal="right" wrapText="1" indent="3"/>
    </xf>
    <xf numFmtId="0" fontId="1" fillId="0" borderId="2" xfId="0" applyFont="1" applyBorder="1" applyAlignment="1">
      <alignment horizontal="right" wrapText="1" indent="1"/>
    </xf>
    <xf numFmtId="0" fontId="0" fillId="0" borderId="8" xfId="0" applyBorder="1" applyAlignment="1">
      <alignment horizontal="right" wrapText="1" indent="2"/>
    </xf>
    <xf numFmtId="0" fontId="0" fillId="0" borderId="8" xfId="0" applyBorder="1" applyAlignment="1">
      <alignment horizontal="right" wrapText="1" indent="3"/>
    </xf>
    <xf numFmtId="9" fontId="0" fillId="0" borderId="8" xfId="1" applyFont="1" applyBorder="1" applyAlignment="1">
      <alignment horizontal="right" wrapText="1" indent="3"/>
    </xf>
    <xf numFmtId="0" fontId="0" fillId="3" borderId="8" xfId="0" applyFill="1" applyBorder="1" applyAlignment="1">
      <alignment horizontal="right" wrapText="1" indent="3"/>
    </xf>
    <xf numFmtId="9" fontId="0" fillId="0" borderId="3" xfId="1" applyFont="1" applyBorder="1" applyAlignment="1">
      <alignment horizontal="right" wrapText="1" indent="3"/>
    </xf>
    <xf numFmtId="0" fontId="6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9" fontId="0" fillId="0" borderId="9" xfId="1" applyFont="1" applyBorder="1" applyAlignment="1">
      <alignment horizontal="right" wrapText="1" indent="2"/>
    </xf>
    <xf numFmtId="9" fontId="0" fillId="0" borderId="8" xfId="1" applyFont="1" applyBorder="1" applyAlignment="1">
      <alignment horizontal="right" wrapText="1" indent="2"/>
    </xf>
    <xf numFmtId="0" fontId="0" fillId="0" borderId="15" xfId="0" applyBorder="1" applyAlignment="1">
      <alignment horizontal="right" wrapText="1" indent="3"/>
    </xf>
    <xf numFmtId="0" fontId="0" fillId="0" borderId="16" xfId="0" applyBorder="1" applyAlignment="1">
      <alignment horizontal="right" wrapText="1" indent="3"/>
    </xf>
    <xf numFmtId="9" fontId="0" fillId="0" borderId="5" xfId="1" applyFont="1" applyBorder="1" applyAlignment="1">
      <alignment horizontal="right" wrapText="1" indent="2"/>
    </xf>
    <xf numFmtId="9" fontId="0" fillId="0" borderId="3" xfId="1" applyFont="1" applyBorder="1" applyAlignment="1">
      <alignment horizontal="right" wrapText="1" indent="2"/>
    </xf>
    <xf numFmtId="0" fontId="0" fillId="0" borderId="16" xfId="0" applyBorder="1" applyAlignment="1">
      <alignment horizontal="right" wrapText="1" indent="2"/>
    </xf>
    <xf numFmtId="0" fontId="0" fillId="0" borderId="15" xfId="0" applyBorder="1" applyAlignment="1">
      <alignment horizontal="right" wrapText="1" indent="2"/>
    </xf>
    <xf numFmtId="9" fontId="0" fillId="0" borderId="12" xfId="1" applyFont="1" applyBorder="1" applyAlignment="1">
      <alignment horizontal="right" wrapText="1" indent="2"/>
    </xf>
    <xf numFmtId="0" fontId="0" fillId="0" borderId="3" xfId="0" applyBorder="1" applyAlignment="1">
      <alignment horizontal="right" wrapText="1" indent="2"/>
    </xf>
    <xf numFmtId="0" fontId="1" fillId="0" borderId="1" xfId="0" applyFont="1" applyBorder="1" applyAlignment="1">
      <alignment vertical="center" wrapText="1"/>
    </xf>
    <xf numFmtId="0" fontId="12" fillId="2" borderId="0" xfId="0" applyFont="1" applyFill="1"/>
    <xf numFmtId="0" fontId="0" fillId="0" borderId="13" xfId="0" applyBorder="1" applyAlignment="1">
      <alignment horizontal="left" wrapText="1" indent="1"/>
    </xf>
    <xf numFmtId="0" fontId="0" fillId="0" borderId="17" xfId="0" applyBorder="1" applyAlignment="1">
      <alignment horizontal="right" wrapText="1" indent="1"/>
    </xf>
    <xf numFmtId="164" fontId="0" fillId="0" borderId="11" xfId="1" applyNumberFormat="1" applyFont="1" applyBorder="1" applyAlignment="1">
      <alignment horizontal="right" wrapText="1" indent="1"/>
    </xf>
    <xf numFmtId="164" fontId="0" fillId="0" borderId="12" xfId="1" applyNumberFormat="1" applyFont="1" applyBorder="1" applyAlignment="1">
      <alignment horizontal="right" wrapText="1" indent="1"/>
    </xf>
    <xf numFmtId="0" fontId="0" fillId="0" borderId="4" xfId="0" applyBorder="1" applyAlignment="1">
      <alignment horizontal="left" wrapText="1" indent="3"/>
    </xf>
    <xf numFmtId="0" fontId="0" fillId="0" borderId="4" xfId="0" applyBorder="1" applyAlignment="1">
      <alignment horizontal="left" wrapText="1" indent="7"/>
    </xf>
    <xf numFmtId="0" fontId="1" fillId="0" borderId="9" xfId="0" applyFont="1" applyBorder="1" applyAlignment="1">
      <alignment horizontal="right" wrapText="1" indent="3"/>
    </xf>
    <xf numFmtId="9" fontId="0" fillId="0" borderId="5" xfId="1" applyFont="1" applyFill="1" applyBorder="1" applyAlignment="1">
      <alignment horizontal="right" wrapText="1" indent="2"/>
    </xf>
    <xf numFmtId="9" fontId="0" fillId="0" borderId="5" xfId="0" applyNumberFormat="1" applyBorder="1" applyAlignment="1">
      <alignment horizontal="right" wrapText="1" indent="2"/>
    </xf>
    <xf numFmtId="0" fontId="1" fillId="0" borderId="9" xfId="0" applyFont="1" applyBorder="1" applyAlignment="1">
      <alignment horizontal="right" wrapText="1" indent="2"/>
    </xf>
    <xf numFmtId="0" fontId="1" fillId="3" borderId="5" xfId="0" applyFont="1" applyFill="1" applyBorder="1" applyAlignment="1">
      <alignment horizontal="right" wrapText="1" indent="2"/>
    </xf>
    <xf numFmtId="9" fontId="1" fillId="3" borderId="12" xfId="1" applyFont="1" applyFill="1" applyBorder="1" applyAlignment="1">
      <alignment horizontal="right" wrapText="1" indent="2"/>
    </xf>
    <xf numFmtId="9" fontId="1" fillId="3" borderId="12" xfId="1" applyFont="1" applyFill="1" applyBorder="1" applyAlignment="1">
      <alignment horizontal="right" wrapText="1" indent="3"/>
    </xf>
    <xf numFmtId="9" fontId="0" fillId="3" borderId="5" xfId="1" applyFont="1" applyFill="1" applyBorder="1" applyAlignment="1">
      <alignment horizontal="right" wrapText="1" indent="2"/>
    </xf>
    <xf numFmtId="9" fontId="1" fillId="3" borderId="5" xfId="1" applyFont="1" applyFill="1" applyBorder="1" applyAlignment="1">
      <alignment horizontal="right" wrapText="1" indent="2"/>
    </xf>
    <xf numFmtId="9" fontId="0" fillId="3" borderId="5" xfId="1" applyFont="1" applyFill="1" applyBorder="1" applyAlignment="1">
      <alignment horizontal="right" wrapText="1" indent="3"/>
    </xf>
    <xf numFmtId="9" fontId="1" fillId="3" borderId="5" xfId="1" applyFont="1" applyFill="1" applyBorder="1" applyAlignment="1">
      <alignment horizontal="right" wrapText="1" indent="3"/>
    </xf>
    <xf numFmtId="0" fontId="1" fillId="5" borderId="20" xfId="0" applyFont="1" applyFill="1" applyBorder="1" applyAlignment="1">
      <alignment horizontal="left" wrapText="1" indent="5"/>
    </xf>
    <xf numFmtId="0" fontId="1" fillId="5" borderId="21" xfId="0" applyFont="1" applyFill="1" applyBorder="1" applyAlignment="1">
      <alignment horizontal="right" wrapText="1" indent="2"/>
    </xf>
    <xf numFmtId="9" fontId="1" fillId="5" borderId="22" xfId="0" applyNumberFormat="1" applyFont="1" applyFill="1" applyBorder="1" applyAlignment="1">
      <alignment horizontal="right" wrapText="1" indent="2"/>
    </xf>
    <xf numFmtId="9" fontId="1" fillId="5" borderId="22" xfId="1" applyFont="1" applyFill="1" applyBorder="1" applyAlignment="1">
      <alignment horizontal="right" wrapText="1" indent="2"/>
    </xf>
    <xf numFmtId="0" fontId="1" fillId="6" borderId="4" xfId="0" applyFont="1" applyFill="1" applyBorder="1" applyAlignment="1">
      <alignment horizontal="left" wrapText="1" indent="3"/>
    </xf>
    <xf numFmtId="0" fontId="1" fillId="6" borderId="9" xfId="0" applyFont="1" applyFill="1" applyBorder="1" applyAlignment="1">
      <alignment horizontal="right" wrapText="1" indent="2"/>
    </xf>
    <xf numFmtId="9" fontId="1" fillId="6" borderId="5" xfId="0" applyNumberFormat="1" applyFont="1" applyFill="1" applyBorder="1" applyAlignment="1">
      <alignment horizontal="right" wrapText="1" indent="2"/>
    </xf>
    <xf numFmtId="0" fontId="1" fillId="5" borderId="3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5" borderId="15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wrapText="1"/>
    </xf>
    <xf numFmtId="0" fontId="1" fillId="5" borderId="8" xfId="0" applyFont="1" applyFill="1" applyBorder="1" applyAlignment="1">
      <alignment horizontal="center" wrapText="1"/>
    </xf>
    <xf numFmtId="0" fontId="1" fillId="6" borderId="9" xfId="0" applyFont="1" applyFill="1" applyBorder="1" applyAlignment="1">
      <alignment horizontal="right" wrapText="1" indent="3"/>
    </xf>
    <xf numFmtId="0" fontId="1" fillId="6" borderId="5" xfId="0" applyFont="1" applyFill="1" applyBorder="1" applyAlignment="1">
      <alignment horizontal="right" wrapText="1" indent="3"/>
    </xf>
    <xf numFmtId="0" fontId="1" fillId="5" borderId="21" xfId="0" applyFont="1" applyFill="1" applyBorder="1" applyAlignment="1">
      <alignment horizontal="right" wrapText="1" indent="3"/>
    </xf>
    <xf numFmtId="0" fontId="1" fillId="5" borderId="22" xfId="0" applyFont="1" applyFill="1" applyBorder="1" applyAlignment="1">
      <alignment horizontal="right" wrapText="1" indent="3"/>
    </xf>
    <xf numFmtId="9" fontId="1" fillId="5" borderId="22" xfId="1" applyFont="1" applyFill="1" applyBorder="1" applyAlignment="1">
      <alignment horizontal="right" wrapText="1" indent="3"/>
    </xf>
    <xf numFmtId="0" fontId="1" fillId="4" borderId="3" xfId="0" applyFont="1" applyFill="1" applyBorder="1" applyAlignment="1">
      <alignment horizontal="center" wrapText="1"/>
    </xf>
    <xf numFmtId="0" fontId="0" fillId="8" borderId="16" xfId="0" applyFill="1" applyBorder="1" applyAlignment="1">
      <alignment horizontal="right" wrapText="1" indent="2"/>
    </xf>
    <xf numFmtId="9" fontId="0" fillId="8" borderId="8" xfId="1" applyFont="1" applyFill="1" applyBorder="1" applyAlignment="1">
      <alignment horizontal="right" wrapText="1" indent="2"/>
    </xf>
    <xf numFmtId="0" fontId="0" fillId="8" borderId="8" xfId="0" applyFill="1" applyBorder="1" applyAlignment="1">
      <alignment horizontal="right" wrapText="1" indent="2"/>
    </xf>
    <xf numFmtId="9" fontId="0" fillId="8" borderId="3" xfId="1" applyFont="1" applyFill="1" applyBorder="1" applyAlignment="1">
      <alignment horizontal="right" wrapText="1" indent="2"/>
    </xf>
    <xf numFmtId="0" fontId="0" fillId="0" borderId="5" xfId="0" applyBorder="1" applyAlignment="1">
      <alignment wrapText="1"/>
    </xf>
    <xf numFmtId="0" fontId="1" fillId="4" borderId="14" xfId="0" applyFont="1" applyFill="1" applyBorder="1" applyAlignment="1">
      <alignment horizontal="center" wrapText="1"/>
    </xf>
    <xf numFmtId="0" fontId="1" fillId="4" borderId="8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top" wrapText="1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5" borderId="12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4" borderId="12" xfId="0" applyFont="1" applyFill="1" applyBorder="1" applyAlignment="1">
      <alignment horizontal="center" wrapText="1"/>
    </xf>
    <xf numFmtId="0" fontId="1" fillId="4" borderId="7" xfId="0" applyFont="1" applyFill="1" applyBorder="1" applyAlignment="1">
      <alignment horizontal="center" wrapText="1"/>
    </xf>
    <xf numFmtId="0" fontId="1" fillId="4" borderId="1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right" wrapText="1"/>
    </xf>
    <xf numFmtId="0" fontId="1" fillId="8" borderId="23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3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0C6AD"/>
      <color rgb="FFF2E8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 b="1"/>
              <a:t>3. Percentage</a:t>
            </a:r>
            <a:r>
              <a:rPr lang="en-GB" sz="1100" b="1" baseline="0"/>
              <a:t> of households with HHR errors, by assessment day</a:t>
            </a:r>
            <a:r>
              <a:rPr lang="en-GB" sz="1100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90577801912144E-2"/>
          <c:y val="0.13799793601651186"/>
          <c:w val="0.78150142202216388"/>
          <c:h val="0.7217402468654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'Table 3 Trend in total errors'!$D$18</c:f>
              <c:strCache>
                <c:ptCount val="1"/>
                <c:pt idx="0">
                  <c:v>HHs with errors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'Table 3 Trend in total errors'!$B$19:$B$24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'Table 3 Trend in total errors'!$D$19:$D$24</c:f>
              <c:numCache>
                <c:formatCode>General</c:formatCode>
                <c:ptCount val="6"/>
                <c:pt idx="0">
                  <c:v>42</c:v>
                </c:pt>
                <c:pt idx="1">
                  <c:v>22</c:v>
                </c:pt>
                <c:pt idx="2">
                  <c:v>10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E-4973-B77E-4FD910374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380208"/>
        <c:axId val="608377808"/>
      </c:barChart>
      <c:lineChart>
        <c:grouping val="standard"/>
        <c:varyColors val="0"/>
        <c:ser>
          <c:idx val="1"/>
          <c:order val="1"/>
          <c:tx>
            <c:strRef>
              <c:f>'Table 3 Trend in total errors'!$E$18</c:f>
              <c:strCache>
                <c:ptCount val="1"/>
                <c:pt idx="0">
                  <c:v>Percentage of HHs with errors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3 Trend in total errors'!$B$19:$B$24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'Table 3 Trend in total errors'!$E$19:$E$24</c:f>
              <c:numCache>
                <c:formatCode>0.0%</c:formatCode>
                <c:ptCount val="6"/>
                <c:pt idx="0">
                  <c:v>4.3076923076923075E-2</c:v>
                </c:pt>
                <c:pt idx="1">
                  <c:v>2.2540983606557378E-2</c:v>
                </c:pt>
                <c:pt idx="2">
                  <c:v>1.0224948875255624E-2</c:v>
                </c:pt>
                <c:pt idx="3">
                  <c:v>3.0612244897959182E-3</c:v>
                </c:pt>
                <c:pt idx="4">
                  <c:v>2.0408163265306124E-3</c:v>
                </c:pt>
                <c:pt idx="5">
                  <c:v>1.0204081632653062E-3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6E-4973-B77E-4FD910374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370128"/>
        <c:axId val="608374448"/>
      </c:lineChart>
      <c:catAx>
        <c:axId val="608380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1"/>
                  <a:t>Assessment</a:t>
                </a:r>
                <a:r>
                  <a:rPr lang="en-GB" sz="900" b="1" baseline="0"/>
                  <a:t> day</a:t>
                </a:r>
                <a:endParaRPr lang="en-GB" sz="9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77808"/>
        <c:crosses val="autoZero"/>
        <c:auto val="1"/>
        <c:lblAlgn val="ctr"/>
        <c:lblOffset val="100"/>
        <c:noMultiLvlLbl val="0"/>
      </c:catAx>
      <c:valAx>
        <c:axId val="6083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1"/>
                  <a:t>Number of houesholds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80208"/>
        <c:crosses val="autoZero"/>
        <c:crossBetween val="between"/>
      </c:valAx>
      <c:valAx>
        <c:axId val="60837444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1"/>
                  <a:t>Percentage of households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70128"/>
        <c:crosses val="max"/>
        <c:crossBetween val="between"/>
      </c:valAx>
      <c:catAx>
        <c:axId val="608370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8374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53407559514869"/>
          <c:y val="0.15841024515898361"/>
          <c:w val="0.31472364426409088"/>
          <c:h val="0.11919553399478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 b="1"/>
              <a:t>3. Percentage</a:t>
            </a:r>
            <a:r>
              <a:rPr lang="en-GB" sz="1100" b="1" baseline="0"/>
              <a:t> of households with HHR errors, by assessment day</a:t>
            </a:r>
            <a:r>
              <a:rPr lang="en-GB" sz="1100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90577801912144E-2"/>
          <c:y val="0.13799793601651186"/>
          <c:w val="0.78150142202216388"/>
          <c:h val="0.72174024686542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'Table 3 Trend in total errors'!$D$5</c:f>
              <c:strCache>
                <c:ptCount val="1"/>
                <c:pt idx="0">
                  <c:v>HHs with errors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'Table 3 Trend in total errors'!$B$6:$B$11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'Table 3 Trend in total errors'!$D$6:$D$11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153-4707-8C43-354662B94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380208"/>
        <c:axId val="608377808"/>
      </c:barChart>
      <c:lineChart>
        <c:grouping val="standard"/>
        <c:varyColors val="0"/>
        <c:ser>
          <c:idx val="1"/>
          <c:order val="1"/>
          <c:tx>
            <c:strRef>
              <c:f>'Table 3 Trend in total errors'!$E$5</c:f>
              <c:strCache>
                <c:ptCount val="1"/>
                <c:pt idx="0">
                  <c:v>Percentage of HHs with errors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'Table 3 Trend in total errors'!$B$19:$B$24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'Table 3 Trend in total errors'!$E$6:$E$11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53-4707-8C43-354662B94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370128"/>
        <c:axId val="608374448"/>
      </c:lineChart>
      <c:catAx>
        <c:axId val="608380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1"/>
                  <a:t>Assessment</a:t>
                </a:r>
                <a:r>
                  <a:rPr lang="en-GB" sz="900" b="1" baseline="0"/>
                  <a:t> day</a:t>
                </a:r>
                <a:endParaRPr lang="en-GB" sz="9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77808"/>
        <c:crosses val="autoZero"/>
        <c:auto val="1"/>
        <c:lblAlgn val="ctr"/>
        <c:lblOffset val="100"/>
        <c:noMultiLvlLbl val="0"/>
      </c:catAx>
      <c:valAx>
        <c:axId val="608377808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1"/>
                  <a:t>Number of houesholds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80208"/>
        <c:crosses val="autoZero"/>
        <c:crossBetween val="between"/>
      </c:valAx>
      <c:valAx>
        <c:axId val="608374448"/>
        <c:scaling>
          <c:orientation val="minMax"/>
          <c:max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1"/>
                  <a:t>Percentage of households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70128"/>
        <c:crosses val="max"/>
        <c:crossBetween val="between"/>
      </c:valAx>
      <c:catAx>
        <c:axId val="608370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8374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53407559514869"/>
          <c:y val="0.15841024515898361"/>
          <c:w val="0.31472364426409088"/>
          <c:h val="0.11919553399478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</xdr:colOff>
      <xdr:row>15</xdr:row>
      <xdr:rowOff>152400</xdr:rowOff>
    </xdr:from>
    <xdr:to>
      <xdr:col>16</xdr:col>
      <xdr:colOff>161925</xdr:colOff>
      <xdr:row>25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1BE2D-A4EB-74F2-99F7-80997D51D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2</xdr:row>
      <xdr:rowOff>133350</xdr:rowOff>
    </xdr:from>
    <xdr:to>
      <xdr:col>16</xdr:col>
      <xdr:colOff>142876</xdr:colOff>
      <xdr:row>12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01244B-37CB-4B00-A234-5EB4B862D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FC7EB-3CB0-4ACA-A344-5056029188CF}">
  <dimension ref="B2:F35"/>
  <sheetViews>
    <sheetView topLeftCell="A9" zoomScaleNormal="100" workbookViewId="0">
      <selection activeCell="B22" sqref="B22:F22"/>
    </sheetView>
  </sheetViews>
  <sheetFormatPr defaultColWidth="9.1796875" defaultRowHeight="14.5" x14ac:dyDescent="0.35"/>
  <cols>
    <col min="1" max="1" width="9.1796875" style="7"/>
    <col min="2" max="2" width="12.26953125" style="7" customWidth="1"/>
    <col min="3" max="3" width="15.81640625" style="7" customWidth="1"/>
    <col min="4" max="4" width="16.7265625" style="7" customWidth="1"/>
    <col min="5" max="5" width="13.81640625" style="7" customWidth="1"/>
    <col min="6" max="6" width="23.7265625" style="7" bestFit="1" customWidth="1"/>
    <col min="7" max="16384" width="9.1796875" style="7"/>
  </cols>
  <sheetData>
    <row r="2" spans="2:6" x14ac:dyDescent="0.35">
      <c r="B2" s="98" t="s">
        <v>87</v>
      </c>
      <c r="C2" s="99"/>
      <c r="D2" s="99"/>
      <c r="E2" s="99"/>
      <c r="F2" s="99"/>
    </row>
    <row r="4" spans="2:6" ht="33.75" customHeight="1" x14ac:dyDescent="0.35">
      <c r="B4" s="101" t="s">
        <v>101</v>
      </c>
      <c r="C4" s="101"/>
      <c r="D4" s="101"/>
      <c r="E4" s="101"/>
      <c r="F4" s="101"/>
    </row>
    <row r="5" spans="2:6" ht="30" customHeight="1" x14ac:dyDescent="0.35">
      <c r="B5" s="1" t="s">
        <v>0</v>
      </c>
      <c r="C5" s="2" t="s">
        <v>1</v>
      </c>
      <c r="D5" s="3" t="s">
        <v>2</v>
      </c>
      <c r="E5" s="3" t="s">
        <v>14</v>
      </c>
      <c r="F5" s="3" t="s">
        <v>13</v>
      </c>
    </row>
    <row r="6" spans="2:6" ht="18.75" customHeight="1" x14ac:dyDescent="0.35">
      <c r="B6" s="12"/>
      <c r="C6" s="11"/>
      <c r="D6" s="5"/>
      <c r="E6" s="5"/>
      <c r="F6" s="8"/>
    </row>
    <row r="7" spans="2:6" ht="18.75" customHeight="1" x14ac:dyDescent="0.35">
      <c r="B7" s="12"/>
      <c r="C7" s="11"/>
      <c r="D7" s="5"/>
      <c r="E7" s="5"/>
      <c r="F7" s="9"/>
    </row>
    <row r="8" spans="2:6" ht="18.75" customHeight="1" x14ac:dyDescent="0.35">
      <c r="B8" s="12"/>
      <c r="C8" s="11"/>
      <c r="D8" s="5"/>
      <c r="E8" s="5"/>
      <c r="F8" s="9"/>
    </row>
    <row r="9" spans="2:6" ht="18.75" customHeight="1" x14ac:dyDescent="0.35">
      <c r="B9" s="12"/>
      <c r="C9" s="11"/>
      <c r="D9" s="5"/>
      <c r="E9" s="5"/>
      <c r="F9" s="9"/>
    </row>
    <row r="10" spans="2:6" ht="18.75" customHeight="1" x14ac:dyDescent="0.35">
      <c r="B10" s="12"/>
      <c r="C10" s="11"/>
      <c r="D10" s="5"/>
      <c r="E10" s="5"/>
      <c r="F10" s="9"/>
    </row>
    <row r="11" spans="2:6" ht="18.75" customHeight="1" x14ac:dyDescent="0.35">
      <c r="B11" s="12"/>
      <c r="C11" s="11"/>
      <c r="D11" s="5"/>
      <c r="E11" s="5"/>
      <c r="F11" s="9"/>
    </row>
    <row r="12" spans="2:6" ht="18.75" customHeight="1" x14ac:dyDescent="0.35">
      <c r="B12" s="12"/>
      <c r="C12" s="11"/>
      <c r="D12" s="5"/>
      <c r="E12" s="5"/>
      <c r="F12" s="9"/>
    </row>
    <row r="13" spans="2:6" ht="18.75" customHeight="1" x14ac:dyDescent="0.35">
      <c r="B13" s="12"/>
      <c r="C13" s="11"/>
      <c r="D13" s="5"/>
      <c r="E13" s="5"/>
      <c r="F13" s="9"/>
    </row>
    <row r="14" spans="2:6" ht="18.75" customHeight="1" x14ac:dyDescent="0.35">
      <c r="B14" s="12"/>
      <c r="C14" s="11"/>
      <c r="D14" s="5"/>
      <c r="E14" s="5"/>
      <c r="F14" s="9"/>
    </row>
    <row r="15" spans="2:6" ht="18.75" customHeight="1" x14ac:dyDescent="0.35">
      <c r="B15" s="12"/>
      <c r="C15" s="11"/>
      <c r="D15" s="5"/>
      <c r="E15" s="5"/>
      <c r="F15" s="9"/>
    </row>
    <row r="16" spans="2:6" ht="18.75" customHeight="1" x14ac:dyDescent="0.35">
      <c r="B16" s="4"/>
      <c r="C16" s="5"/>
      <c r="D16" s="5"/>
      <c r="E16" s="6"/>
      <c r="F16" s="10"/>
    </row>
    <row r="17" spans="2:6" x14ac:dyDescent="0.35">
      <c r="B17" s="100" t="s">
        <v>43</v>
      </c>
      <c r="C17" s="100"/>
      <c r="D17" s="100"/>
      <c r="E17" s="100"/>
      <c r="F17" s="100"/>
    </row>
    <row r="20" spans="2:6" x14ac:dyDescent="0.35">
      <c r="B20" s="98" t="s">
        <v>38</v>
      </c>
      <c r="C20" s="99"/>
      <c r="D20" s="99"/>
      <c r="E20" s="99"/>
      <c r="F20" s="99"/>
    </row>
    <row r="22" spans="2:6" ht="33.75" customHeight="1" x14ac:dyDescent="0.35">
      <c r="B22" s="101" t="s">
        <v>102</v>
      </c>
      <c r="C22" s="101"/>
      <c r="D22" s="101"/>
      <c r="E22" s="101"/>
      <c r="F22" s="101"/>
    </row>
    <row r="23" spans="2:6" ht="30" customHeight="1" x14ac:dyDescent="0.35">
      <c r="B23" s="1" t="s">
        <v>0</v>
      </c>
      <c r="C23" s="2" t="s">
        <v>1</v>
      </c>
      <c r="D23" s="3" t="s">
        <v>2</v>
      </c>
      <c r="E23" s="3" t="s">
        <v>14</v>
      </c>
      <c r="F23" s="3" t="s">
        <v>13</v>
      </c>
    </row>
    <row r="24" spans="2:6" ht="18.75" customHeight="1" x14ac:dyDescent="0.35">
      <c r="B24" s="12" t="s">
        <v>3</v>
      </c>
      <c r="C24" s="11" t="s">
        <v>6</v>
      </c>
      <c r="D24" s="5">
        <v>10</v>
      </c>
      <c r="E24" s="5" t="s">
        <v>11</v>
      </c>
      <c r="F24" s="8">
        <v>1</v>
      </c>
    </row>
    <row r="25" spans="2:6" ht="18.75" customHeight="1" x14ac:dyDescent="0.35">
      <c r="B25" s="12" t="s">
        <v>3</v>
      </c>
      <c r="C25" s="11" t="s">
        <v>7</v>
      </c>
      <c r="D25" s="5">
        <v>10</v>
      </c>
      <c r="E25" s="5" t="s">
        <v>11</v>
      </c>
      <c r="F25" s="9">
        <v>0</v>
      </c>
    </row>
    <row r="26" spans="2:6" ht="18.75" customHeight="1" x14ac:dyDescent="0.35">
      <c r="B26" s="12" t="s">
        <v>3</v>
      </c>
      <c r="C26" s="11" t="s">
        <v>8</v>
      </c>
      <c r="D26" s="5">
        <v>10</v>
      </c>
      <c r="E26" s="5" t="s">
        <v>11</v>
      </c>
      <c r="F26" s="9">
        <v>0</v>
      </c>
    </row>
    <row r="27" spans="2:6" ht="18.75" customHeight="1" x14ac:dyDescent="0.35">
      <c r="B27" s="12" t="s">
        <v>3</v>
      </c>
      <c r="C27" s="11" t="s">
        <v>9</v>
      </c>
      <c r="D27" s="5">
        <v>10</v>
      </c>
      <c r="E27" s="5" t="s">
        <v>11</v>
      </c>
      <c r="F27" s="9">
        <v>2</v>
      </c>
    </row>
    <row r="28" spans="2:6" ht="18.75" customHeight="1" x14ac:dyDescent="0.35">
      <c r="B28" s="12" t="s">
        <v>3</v>
      </c>
      <c r="C28" s="11" t="s">
        <v>10</v>
      </c>
      <c r="D28" s="5">
        <v>10</v>
      </c>
      <c r="E28" s="5" t="s">
        <v>11</v>
      </c>
      <c r="F28" s="9">
        <v>0</v>
      </c>
    </row>
    <row r="29" spans="2:6" ht="18.75" customHeight="1" x14ac:dyDescent="0.35">
      <c r="B29" s="12" t="s">
        <v>4</v>
      </c>
      <c r="C29" s="11" t="s">
        <v>6</v>
      </c>
      <c r="D29" s="5">
        <v>10</v>
      </c>
      <c r="E29" s="5" t="s">
        <v>11</v>
      </c>
      <c r="F29" s="9">
        <v>0</v>
      </c>
    </row>
    <row r="30" spans="2:6" ht="18.75" customHeight="1" x14ac:dyDescent="0.35">
      <c r="B30" s="12" t="s">
        <v>4</v>
      </c>
      <c r="C30" s="11" t="s">
        <v>7</v>
      </c>
      <c r="D30" s="5">
        <v>9</v>
      </c>
      <c r="E30" s="5" t="s">
        <v>12</v>
      </c>
      <c r="F30" s="9">
        <v>1</v>
      </c>
    </row>
    <row r="31" spans="2:6" ht="18.75" customHeight="1" x14ac:dyDescent="0.35">
      <c r="B31" s="12" t="s">
        <v>4</v>
      </c>
      <c r="C31" s="11" t="s">
        <v>8</v>
      </c>
      <c r="D31" s="5">
        <v>10</v>
      </c>
      <c r="E31" s="5" t="s">
        <v>11</v>
      </c>
      <c r="F31" s="9">
        <v>0</v>
      </c>
    </row>
    <row r="32" spans="2:6" ht="18.75" customHeight="1" x14ac:dyDescent="0.35">
      <c r="B32" s="12" t="s">
        <v>4</v>
      </c>
      <c r="C32" s="11" t="s">
        <v>9</v>
      </c>
      <c r="D32" s="5">
        <v>8</v>
      </c>
      <c r="E32" s="5" t="s">
        <v>12</v>
      </c>
      <c r="F32" s="9">
        <v>2</v>
      </c>
    </row>
    <row r="33" spans="2:6" ht="18.75" customHeight="1" x14ac:dyDescent="0.35">
      <c r="B33" s="12" t="s">
        <v>4</v>
      </c>
      <c r="C33" s="11" t="s">
        <v>10</v>
      </c>
      <c r="D33" s="5">
        <v>10</v>
      </c>
      <c r="E33" s="5" t="s">
        <v>12</v>
      </c>
      <c r="F33" s="9">
        <v>1</v>
      </c>
    </row>
    <row r="34" spans="2:6" ht="18.75" customHeight="1" x14ac:dyDescent="0.35">
      <c r="B34" s="4" t="s">
        <v>5</v>
      </c>
      <c r="C34" s="5" t="s">
        <v>5</v>
      </c>
      <c r="D34" s="5" t="s">
        <v>5</v>
      </c>
      <c r="E34" s="6" t="s">
        <v>5</v>
      </c>
      <c r="F34" s="10" t="s">
        <v>5</v>
      </c>
    </row>
    <row r="35" spans="2:6" x14ac:dyDescent="0.35">
      <c r="B35" s="100" t="s">
        <v>43</v>
      </c>
      <c r="C35" s="100"/>
      <c r="D35" s="100"/>
      <c r="E35" s="100"/>
      <c r="F35" s="100"/>
    </row>
  </sheetData>
  <mergeCells count="6">
    <mergeCell ref="B35:F35"/>
    <mergeCell ref="B20:F20"/>
    <mergeCell ref="B4:F4"/>
    <mergeCell ref="B17:F17"/>
    <mergeCell ref="B2:F2"/>
    <mergeCell ref="B22:F2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323E-D273-4CA6-9314-D380D1EF6C0C}">
  <dimension ref="B2:H33"/>
  <sheetViews>
    <sheetView zoomScaleNormal="100" workbookViewId="0">
      <selection activeCell="B22" sqref="B22"/>
    </sheetView>
  </sheetViews>
  <sheetFormatPr defaultColWidth="9.1796875" defaultRowHeight="14.5" x14ac:dyDescent="0.35"/>
  <cols>
    <col min="1" max="1" width="9.1796875" style="7"/>
    <col min="2" max="2" width="14.7265625" style="7" customWidth="1"/>
    <col min="3" max="3" width="15.81640625" style="7" customWidth="1"/>
    <col min="4" max="4" width="16.7265625" style="7" customWidth="1"/>
    <col min="5" max="6" width="13.81640625" style="7" customWidth="1"/>
    <col min="7" max="7" width="30.54296875" style="7" bestFit="1" customWidth="1"/>
    <col min="8" max="8" width="48.26953125" style="7" customWidth="1"/>
    <col min="9" max="16384" width="9.1796875" style="7"/>
  </cols>
  <sheetData>
    <row r="2" spans="2:8" x14ac:dyDescent="0.35">
      <c r="B2" s="98" t="s">
        <v>87</v>
      </c>
      <c r="C2" s="98"/>
      <c r="D2" s="98"/>
      <c r="E2" s="98"/>
      <c r="F2" s="98"/>
      <c r="G2" s="98"/>
      <c r="H2" s="98"/>
    </row>
    <row r="4" spans="2:8" ht="33.75" customHeight="1" x14ac:dyDescent="0.35">
      <c r="B4" s="101" t="s">
        <v>103</v>
      </c>
      <c r="C4" s="101"/>
      <c r="D4" s="101"/>
      <c r="E4" s="101"/>
      <c r="F4" s="101"/>
      <c r="G4" s="101"/>
      <c r="H4" s="101"/>
    </row>
    <row r="5" spans="2:8" x14ac:dyDescent="0.35">
      <c r="B5" s="18" t="s">
        <v>26</v>
      </c>
      <c r="C5" s="18" t="s">
        <v>27</v>
      </c>
      <c r="D5" s="18" t="s">
        <v>28</v>
      </c>
      <c r="E5" s="18" t="s">
        <v>29</v>
      </c>
      <c r="F5" s="18" t="s">
        <v>30</v>
      </c>
      <c r="G5" s="14"/>
      <c r="H5" s="14"/>
    </row>
    <row r="6" spans="2:8" ht="26" x14ac:dyDescent="0.35">
      <c r="B6" s="16" t="s">
        <v>31</v>
      </c>
      <c r="C6" s="17"/>
      <c r="D6" s="17"/>
      <c r="E6" s="18" t="s">
        <v>32</v>
      </c>
      <c r="F6" s="18" t="s">
        <v>33</v>
      </c>
      <c r="G6" s="15"/>
      <c r="H6" s="15"/>
    </row>
    <row r="7" spans="2:8" ht="45" customHeight="1" x14ac:dyDescent="0.35">
      <c r="B7" s="1" t="s">
        <v>1</v>
      </c>
      <c r="C7" s="2" t="s">
        <v>24</v>
      </c>
      <c r="D7" s="3" t="s">
        <v>25</v>
      </c>
      <c r="E7" s="3" t="s">
        <v>18</v>
      </c>
      <c r="F7" s="3" t="s">
        <v>17</v>
      </c>
      <c r="G7" s="3" t="s">
        <v>16</v>
      </c>
      <c r="H7" s="3" t="s">
        <v>15</v>
      </c>
    </row>
    <row r="8" spans="2:8" ht="18.75" customHeight="1" x14ac:dyDescent="0.35">
      <c r="B8" s="12"/>
      <c r="C8" s="5"/>
      <c r="D8" s="5"/>
      <c r="E8" s="5"/>
      <c r="F8" s="9"/>
      <c r="G8" s="21"/>
      <c r="H8" s="21"/>
    </row>
    <row r="9" spans="2:8" ht="18.75" customHeight="1" x14ac:dyDescent="0.35">
      <c r="B9" s="12"/>
      <c r="C9" s="5"/>
      <c r="D9" s="5"/>
      <c r="E9" s="5"/>
      <c r="F9" s="9"/>
      <c r="G9" s="22"/>
      <c r="H9" s="22"/>
    </row>
    <row r="10" spans="2:8" ht="18.75" customHeight="1" x14ac:dyDescent="0.35">
      <c r="B10" s="12"/>
      <c r="C10" s="5"/>
      <c r="D10" s="5"/>
      <c r="E10" s="5"/>
      <c r="F10" s="9"/>
      <c r="G10" s="22"/>
      <c r="H10" s="22"/>
    </row>
    <row r="11" spans="2:8" ht="18.75" customHeight="1" x14ac:dyDescent="0.35">
      <c r="B11" s="12"/>
      <c r="C11" s="5"/>
      <c r="D11" s="5"/>
      <c r="E11" s="5"/>
      <c r="F11" s="9"/>
      <c r="G11" s="22"/>
      <c r="H11" s="22"/>
    </row>
    <row r="12" spans="2:8" ht="18.75" customHeight="1" x14ac:dyDescent="0.35">
      <c r="B12" s="12"/>
      <c r="C12" s="5"/>
      <c r="D12" s="5"/>
      <c r="E12" s="5"/>
      <c r="F12" s="9"/>
      <c r="G12" s="9"/>
      <c r="H12" s="9"/>
    </row>
    <row r="13" spans="2:8" ht="18.75" customHeight="1" x14ac:dyDescent="0.35">
      <c r="B13" s="12"/>
      <c r="C13" s="5"/>
      <c r="D13" s="5"/>
      <c r="E13" s="5"/>
      <c r="F13" s="9"/>
      <c r="G13" s="9"/>
      <c r="H13" s="9"/>
    </row>
    <row r="14" spans="2:8" ht="18.75" customHeight="1" x14ac:dyDescent="0.35">
      <c r="B14" s="12"/>
      <c r="C14" s="5"/>
      <c r="D14" s="5"/>
      <c r="E14" s="5"/>
      <c r="F14" s="9"/>
      <c r="G14" s="9"/>
      <c r="H14" s="9"/>
    </row>
    <row r="15" spans="2:8" ht="18.75" customHeight="1" x14ac:dyDescent="0.35">
      <c r="B15" s="4"/>
      <c r="C15" s="5"/>
      <c r="D15" s="5"/>
      <c r="E15" s="6"/>
      <c r="F15" s="10"/>
      <c r="G15" s="10"/>
      <c r="H15" s="10"/>
    </row>
    <row r="16" spans="2:8" x14ac:dyDescent="0.35">
      <c r="B16" s="100" t="s">
        <v>43</v>
      </c>
      <c r="C16" s="100"/>
      <c r="D16" s="100"/>
      <c r="E16" s="100"/>
      <c r="F16" s="100"/>
      <c r="G16" s="100"/>
      <c r="H16" s="100"/>
    </row>
    <row r="19" spans="2:8" x14ac:dyDescent="0.35">
      <c r="B19" s="98" t="s">
        <v>38</v>
      </c>
      <c r="C19" s="98"/>
      <c r="D19" s="98"/>
      <c r="E19" s="98"/>
      <c r="F19" s="98"/>
      <c r="G19" s="98"/>
      <c r="H19" s="98"/>
    </row>
    <row r="21" spans="2:8" ht="33.75" customHeight="1" x14ac:dyDescent="0.35">
      <c r="B21" s="101" t="s">
        <v>103</v>
      </c>
      <c r="C21" s="101"/>
      <c r="D21" s="101"/>
      <c r="E21" s="101"/>
      <c r="F21" s="101"/>
      <c r="G21" s="101"/>
      <c r="H21" s="101"/>
    </row>
    <row r="22" spans="2:8" x14ac:dyDescent="0.35">
      <c r="B22" s="18" t="s">
        <v>26</v>
      </c>
      <c r="C22" s="18" t="s">
        <v>27</v>
      </c>
      <c r="D22" s="18" t="s">
        <v>28</v>
      </c>
      <c r="E22" s="18" t="s">
        <v>29</v>
      </c>
      <c r="F22" s="18" t="s">
        <v>30</v>
      </c>
      <c r="G22" s="14"/>
      <c r="H22" s="14"/>
    </row>
    <row r="23" spans="2:8" ht="26" x14ac:dyDescent="0.35">
      <c r="B23" s="16" t="s">
        <v>31</v>
      </c>
      <c r="C23" s="17"/>
      <c r="D23" s="17"/>
      <c r="E23" s="18" t="s">
        <v>32</v>
      </c>
      <c r="F23" s="18" t="s">
        <v>33</v>
      </c>
      <c r="G23" s="15"/>
      <c r="H23" s="15"/>
    </row>
    <row r="24" spans="2:8" ht="43.5" x14ac:dyDescent="0.35">
      <c r="B24" s="1" t="s">
        <v>1</v>
      </c>
      <c r="C24" s="2" t="s">
        <v>24</v>
      </c>
      <c r="D24" s="3" t="s">
        <v>25</v>
      </c>
      <c r="E24" s="3" t="s">
        <v>18</v>
      </c>
      <c r="F24" s="3" t="s">
        <v>17</v>
      </c>
      <c r="G24" s="3" t="s">
        <v>16</v>
      </c>
      <c r="H24" s="3" t="s">
        <v>15</v>
      </c>
    </row>
    <row r="25" spans="2:8" ht="33.75" customHeight="1" x14ac:dyDescent="0.35">
      <c r="B25" s="12" t="s">
        <v>6</v>
      </c>
      <c r="C25" s="5">
        <v>1</v>
      </c>
      <c r="D25" s="5">
        <v>3</v>
      </c>
      <c r="E25" s="5">
        <v>3</v>
      </c>
      <c r="F25" s="9">
        <v>2</v>
      </c>
      <c r="G25" s="21" t="s">
        <v>99</v>
      </c>
      <c r="H25" s="21" t="s">
        <v>34</v>
      </c>
    </row>
    <row r="26" spans="2:8" ht="33.75" customHeight="1" x14ac:dyDescent="0.35">
      <c r="B26" s="12" t="s">
        <v>6</v>
      </c>
      <c r="C26" s="5">
        <v>1</v>
      </c>
      <c r="D26" s="5">
        <v>5</v>
      </c>
      <c r="E26" s="5">
        <v>3</v>
      </c>
      <c r="F26" s="9">
        <v>2</v>
      </c>
      <c r="G26" s="22" t="s">
        <v>71</v>
      </c>
      <c r="H26" s="22" t="s">
        <v>35</v>
      </c>
    </row>
    <row r="27" spans="2:8" ht="33.75" customHeight="1" x14ac:dyDescent="0.35">
      <c r="B27" s="12" t="s">
        <v>8</v>
      </c>
      <c r="C27" s="5">
        <v>1</v>
      </c>
      <c r="D27" s="5">
        <v>5</v>
      </c>
      <c r="E27" s="5">
        <v>4</v>
      </c>
      <c r="F27" s="9">
        <v>8</v>
      </c>
      <c r="G27" s="22" t="s">
        <v>70</v>
      </c>
      <c r="H27" s="22" t="s">
        <v>36</v>
      </c>
    </row>
    <row r="28" spans="2:8" ht="33.75" customHeight="1" x14ac:dyDescent="0.35">
      <c r="B28" s="12" t="s">
        <v>9</v>
      </c>
      <c r="C28" s="5">
        <v>1</v>
      </c>
      <c r="D28" s="5">
        <v>6</v>
      </c>
      <c r="E28" s="5">
        <v>5</v>
      </c>
      <c r="F28" s="9">
        <v>4</v>
      </c>
      <c r="G28" s="22" t="s">
        <v>71</v>
      </c>
      <c r="H28" s="22" t="s">
        <v>37</v>
      </c>
    </row>
    <row r="29" spans="2:8" ht="33.75" customHeight="1" x14ac:dyDescent="0.35">
      <c r="B29" s="12"/>
      <c r="C29" s="5"/>
      <c r="D29" s="5"/>
      <c r="E29" s="5"/>
      <c r="F29" s="9"/>
      <c r="G29" s="9"/>
      <c r="H29" s="9"/>
    </row>
    <row r="30" spans="2:8" ht="33.75" customHeight="1" x14ac:dyDescent="0.35">
      <c r="B30" s="12"/>
      <c r="C30" s="5"/>
      <c r="D30" s="5"/>
      <c r="E30" s="5"/>
      <c r="F30" s="9"/>
      <c r="G30" s="9"/>
      <c r="H30" s="9"/>
    </row>
    <row r="31" spans="2:8" ht="33.75" customHeight="1" x14ac:dyDescent="0.35">
      <c r="B31" s="12"/>
      <c r="C31" s="5"/>
      <c r="D31" s="5"/>
      <c r="E31" s="5"/>
      <c r="F31" s="9"/>
      <c r="G31" s="9"/>
      <c r="H31" s="9"/>
    </row>
    <row r="32" spans="2:8" x14ac:dyDescent="0.35">
      <c r="B32" s="4" t="s">
        <v>5</v>
      </c>
      <c r="C32" s="5" t="s">
        <v>5</v>
      </c>
      <c r="D32" s="5" t="s">
        <v>5</v>
      </c>
      <c r="E32" s="6" t="s">
        <v>5</v>
      </c>
      <c r="F32" s="10"/>
      <c r="G32" s="10"/>
      <c r="H32" s="10" t="s">
        <v>5</v>
      </c>
    </row>
    <row r="33" spans="2:8" x14ac:dyDescent="0.35">
      <c r="B33" s="100" t="s">
        <v>43</v>
      </c>
      <c r="C33" s="100"/>
      <c r="D33" s="100"/>
      <c r="E33" s="100"/>
      <c r="F33" s="100"/>
      <c r="G33" s="100"/>
      <c r="H33" s="100"/>
    </row>
  </sheetData>
  <mergeCells count="6">
    <mergeCell ref="B19:H19"/>
    <mergeCell ref="B21:H21"/>
    <mergeCell ref="B33:H33"/>
    <mergeCell ref="B2:H2"/>
    <mergeCell ref="B4:H4"/>
    <mergeCell ref="B16:H1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C5AF-BA0B-452A-979E-035455E411ED}">
  <dimension ref="B2:E27"/>
  <sheetViews>
    <sheetView topLeftCell="A30" zoomScaleNormal="100" workbookViewId="0">
      <selection activeCell="B17" sqref="B17:E17"/>
    </sheetView>
  </sheetViews>
  <sheetFormatPr defaultColWidth="9.1796875" defaultRowHeight="14.5" x14ac:dyDescent="0.35"/>
  <cols>
    <col min="1" max="1" width="9.1796875" style="7"/>
    <col min="2" max="2" width="12.26953125" style="7" customWidth="1"/>
    <col min="3" max="4" width="11.453125" style="7" customWidth="1"/>
    <col min="5" max="5" width="17.1796875" style="7" customWidth="1"/>
    <col min="6" max="16384" width="9.1796875" style="7"/>
  </cols>
  <sheetData>
    <row r="2" spans="2:5" x14ac:dyDescent="0.35">
      <c r="B2" s="98" t="s">
        <v>87</v>
      </c>
      <c r="C2" s="99"/>
      <c r="D2" s="99"/>
      <c r="E2" s="99"/>
    </row>
    <row r="4" spans="2:5" ht="33.75" customHeight="1" x14ac:dyDescent="0.35">
      <c r="B4" s="101" t="s">
        <v>104</v>
      </c>
      <c r="C4" s="101"/>
      <c r="D4" s="101"/>
      <c r="E4" s="101"/>
    </row>
    <row r="5" spans="2:5" ht="29" x14ac:dyDescent="0.35">
      <c r="B5" s="1" t="s">
        <v>39</v>
      </c>
      <c r="C5" s="3" t="s">
        <v>2</v>
      </c>
      <c r="D5" s="3" t="s">
        <v>40</v>
      </c>
      <c r="E5" s="3" t="s">
        <v>41</v>
      </c>
    </row>
    <row r="6" spans="2:5" ht="18.75" customHeight="1" x14ac:dyDescent="0.35">
      <c r="B6" s="24">
        <v>1</v>
      </c>
      <c r="C6" s="11"/>
      <c r="D6" s="5"/>
      <c r="E6" s="8"/>
    </row>
    <row r="7" spans="2:5" ht="18.75" customHeight="1" x14ac:dyDescent="0.35">
      <c r="B7" s="24">
        <v>2</v>
      </c>
      <c r="C7" s="11"/>
      <c r="D7" s="5"/>
      <c r="E7" s="9"/>
    </row>
    <row r="8" spans="2:5" ht="18.75" customHeight="1" x14ac:dyDescent="0.35">
      <c r="B8" s="24">
        <v>3</v>
      </c>
      <c r="C8" s="11"/>
      <c r="D8" s="5"/>
      <c r="E8" s="9"/>
    </row>
    <row r="9" spans="2:5" ht="18.75" customHeight="1" x14ac:dyDescent="0.35">
      <c r="B9" s="24">
        <v>4</v>
      </c>
      <c r="C9" s="11"/>
      <c r="D9" s="5"/>
      <c r="E9" s="9"/>
    </row>
    <row r="10" spans="2:5" ht="18.75" customHeight="1" x14ac:dyDescent="0.35">
      <c r="B10" s="24">
        <v>5</v>
      </c>
      <c r="C10" s="11"/>
      <c r="D10" s="5"/>
      <c r="E10" s="9"/>
    </row>
    <row r="11" spans="2:5" ht="18.75" customHeight="1" x14ac:dyDescent="0.35">
      <c r="B11" s="24">
        <v>6</v>
      </c>
      <c r="C11" s="11"/>
      <c r="D11" s="5"/>
      <c r="E11" s="9"/>
    </row>
    <row r="12" spans="2:5" ht="67.5" customHeight="1" x14ac:dyDescent="0.35">
      <c r="B12" s="100" t="s">
        <v>88</v>
      </c>
      <c r="C12" s="100"/>
      <c r="D12" s="100"/>
      <c r="E12" s="100"/>
    </row>
    <row r="13" spans="2:5" x14ac:dyDescent="0.35">
      <c r="B13" s="102"/>
      <c r="C13" s="103"/>
      <c r="D13" s="103"/>
      <c r="E13" s="103"/>
    </row>
    <row r="14" spans="2:5" x14ac:dyDescent="0.35">
      <c r="B14" s="102"/>
      <c r="C14" s="103"/>
      <c r="D14" s="103"/>
      <c r="E14" s="103"/>
    </row>
    <row r="15" spans="2:5" x14ac:dyDescent="0.35">
      <c r="B15" s="98" t="s">
        <v>42</v>
      </c>
      <c r="C15" s="99"/>
      <c r="D15" s="99"/>
      <c r="E15" s="99"/>
    </row>
    <row r="17" spans="2:5" ht="33.75" customHeight="1" x14ac:dyDescent="0.35">
      <c r="B17" s="101" t="s">
        <v>104</v>
      </c>
      <c r="C17" s="101"/>
      <c r="D17" s="101"/>
      <c r="E17" s="101"/>
    </row>
    <row r="18" spans="2:5" ht="29" x14ac:dyDescent="0.35">
      <c r="B18" s="1" t="s">
        <v>39</v>
      </c>
      <c r="C18" s="3" t="s">
        <v>2</v>
      </c>
      <c r="D18" s="3" t="s">
        <v>40</v>
      </c>
      <c r="E18" s="3" t="s">
        <v>41</v>
      </c>
    </row>
    <row r="19" spans="2:5" ht="18.75" customHeight="1" x14ac:dyDescent="0.35">
      <c r="B19" s="24">
        <v>1</v>
      </c>
      <c r="C19" s="5">
        <v>975</v>
      </c>
      <c r="D19" s="5">
        <v>42</v>
      </c>
      <c r="E19" s="26">
        <f>D19/C19</f>
        <v>4.3076923076923075E-2</v>
      </c>
    </row>
    <row r="20" spans="2:5" ht="18.75" customHeight="1" x14ac:dyDescent="0.35">
      <c r="B20" s="24">
        <v>2</v>
      </c>
      <c r="C20" s="5">
        <v>976</v>
      </c>
      <c r="D20" s="5">
        <v>22</v>
      </c>
      <c r="E20" s="28">
        <f t="shared" ref="E20:E24" si="0">D20/C20</f>
        <v>2.2540983606557378E-2</v>
      </c>
    </row>
    <row r="21" spans="2:5" ht="18.75" customHeight="1" x14ac:dyDescent="0.35">
      <c r="B21" s="24">
        <v>3</v>
      </c>
      <c r="C21" s="5">
        <v>978</v>
      </c>
      <c r="D21" s="5">
        <v>10</v>
      </c>
      <c r="E21" s="28">
        <f t="shared" si="0"/>
        <v>1.0224948875255624E-2</v>
      </c>
    </row>
    <row r="22" spans="2:5" ht="18.75" customHeight="1" x14ac:dyDescent="0.35">
      <c r="B22" s="24">
        <v>4</v>
      </c>
      <c r="C22" s="5">
        <v>980</v>
      </c>
      <c r="D22" s="5">
        <v>3</v>
      </c>
      <c r="E22" s="28">
        <f t="shared" si="0"/>
        <v>3.0612244897959182E-3</v>
      </c>
    </row>
    <row r="23" spans="2:5" ht="18.75" customHeight="1" x14ac:dyDescent="0.35">
      <c r="B23" s="24">
        <v>5</v>
      </c>
      <c r="C23" s="5">
        <v>980</v>
      </c>
      <c r="D23" s="5">
        <v>2</v>
      </c>
      <c r="E23" s="28">
        <f t="shared" si="0"/>
        <v>2.0408163265306124E-3</v>
      </c>
    </row>
    <row r="24" spans="2:5" ht="18.75" customHeight="1" x14ac:dyDescent="0.35">
      <c r="B24" s="24">
        <v>6</v>
      </c>
      <c r="C24" s="5">
        <v>980</v>
      </c>
      <c r="D24" s="5">
        <v>1</v>
      </c>
      <c r="E24" s="28">
        <f t="shared" si="0"/>
        <v>1.0204081632653062E-3</v>
      </c>
    </row>
    <row r="25" spans="2:5" ht="67.5" customHeight="1" x14ac:dyDescent="0.35">
      <c r="B25" s="100" t="s">
        <v>88</v>
      </c>
      <c r="C25" s="100"/>
      <c r="D25" s="100"/>
      <c r="E25" s="100"/>
    </row>
    <row r="26" spans="2:5" x14ac:dyDescent="0.35">
      <c r="B26" s="103"/>
      <c r="C26" s="103"/>
      <c r="D26" s="103"/>
      <c r="E26" s="103"/>
    </row>
    <row r="27" spans="2:5" x14ac:dyDescent="0.35">
      <c r="B27" s="103"/>
      <c r="C27" s="103"/>
      <c r="D27" s="103"/>
      <c r="E27" s="103"/>
    </row>
  </sheetData>
  <mergeCells count="10">
    <mergeCell ref="B26:E26"/>
    <mergeCell ref="B27:E27"/>
    <mergeCell ref="B15:E15"/>
    <mergeCell ref="B17:E17"/>
    <mergeCell ref="B25:E25"/>
    <mergeCell ref="B2:E2"/>
    <mergeCell ref="B4:E4"/>
    <mergeCell ref="B12:E12"/>
    <mergeCell ref="B13:E13"/>
    <mergeCell ref="B14:E14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7E4A-3EE1-438E-9B5C-EFE6DA311438}">
  <dimension ref="B2:I40"/>
  <sheetViews>
    <sheetView topLeftCell="A21" zoomScaleNormal="100" workbookViewId="0">
      <selection activeCell="M21" sqref="M21"/>
    </sheetView>
  </sheetViews>
  <sheetFormatPr defaultColWidth="9.1796875" defaultRowHeight="14.5" x14ac:dyDescent="0.35"/>
  <cols>
    <col min="1" max="1" width="9.1796875" style="7"/>
    <col min="2" max="2" width="14.26953125" style="7" customWidth="1"/>
    <col min="3" max="3" width="11.453125" style="7" customWidth="1"/>
    <col min="4" max="5" width="14.26953125" style="7" customWidth="1"/>
    <col min="6" max="6" width="2.81640625" style="7" customWidth="1"/>
    <col min="7" max="7" width="11.453125" style="7" customWidth="1"/>
    <col min="8" max="9" width="14.26953125" style="7" customWidth="1"/>
    <col min="10" max="16384" width="9.1796875" style="7"/>
  </cols>
  <sheetData>
    <row r="2" spans="2:9" x14ac:dyDescent="0.35">
      <c r="B2" s="98" t="s">
        <v>87</v>
      </c>
      <c r="C2" s="99"/>
      <c r="D2" s="99"/>
      <c r="E2" s="99"/>
      <c r="F2" s="99"/>
      <c r="G2" s="99"/>
      <c r="H2" s="99"/>
      <c r="I2" s="99"/>
    </row>
    <row r="4" spans="2:9" ht="48.75" customHeight="1" x14ac:dyDescent="0.35">
      <c r="B4" s="101" t="s">
        <v>105</v>
      </c>
      <c r="C4" s="101"/>
      <c r="D4" s="101"/>
      <c r="E4" s="101"/>
      <c r="F4" s="101"/>
      <c r="G4" s="101"/>
      <c r="H4" s="101"/>
      <c r="I4" s="101"/>
    </row>
    <row r="5" spans="2:9" x14ac:dyDescent="0.35">
      <c r="B5" s="13"/>
      <c r="C5" s="104" t="s">
        <v>45</v>
      </c>
      <c r="D5" s="104"/>
      <c r="E5" s="104"/>
      <c r="F5" s="13"/>
      <c r="G5" s="105" t="s">
        <v>46</v>
      </c>
      <c r="H5" s="105"/>
      <c r="I5" s="105"/>
    </row>
    <row r="6" spans="2:9" ht="30" customHeight="1" x14ac:dyDescent="0.35">
      <c r="B6" s="13"/>
      <c r="C6" s="104" t="s">
        <v>86</v>
      </c>
      <c r="D6" s="104"/>
      <c r="E6" s="104"/>
      <c r="F6" s="13"/>
      <c r="G6" s="105" t="s">
        <v>86</v>
      </c>
      <c r="H6" s="105"/>
      <c r="I6" s="105"/>
    </row>
    <row r="7" spans="2:9" ht="29" x14ac:dyDescent="0.35">
      <c r="B7" s="1" t="s">
        <v>1</v>
      </c>
      <c r="C7" s="77" t="s">
        <v>2</v>
      </c>
      <c r="D7" s="77" t="s">
        <v>47</v>
      </c>
      <c r="E7" s="77" t="s">
        <v>48</v>
      </c>
      <c r="F7" s="30"/>
      <c r="G7" s="88" t="s">
        <v>2</v>
      </c>
      <c r="H7" s="88" t="s">
        <v>47</v>
      </c>
      <c r="I7" s="88" t="s">
        <v>48</v>
      </c>
    </row>
    <row r="8" spans="2:9" ht="18.75" customHeight="1" x14ac:dyDescent="0.35">
      <c r="B8" s="12"/>
      <c r="C8" s="23"/>
      <c r="D8" s="5"/>
      <c r="E8" s="32"/>
      <c r="F8" s="31"/>
      <c r="G8" s="23"/>
      <c r="H8" s="5"/>
      <c r="I8" s="25"/>
    </row>
    <row r="9" spans="2:9" ht="18.75" customHeight="1" x14ac:dyDescent="0.35">
      <c r="B9" s="12"/>
      <c r="C9" s="23"/>
      <c r="D9" s="5"/>
      <c r="E9" s="32"/>
      <c r="F9" s="31"/>
      <c r="G9" s="23"/>
      <c r="H9" s="5"/>
      <c r="I9" s="27"/>
    </row>
    <row r="10" spans="2:9" ht="18.75" customHeight="1" x14ac:dyDescent="0.35">
      <c r="B10" s="12"/>
      <c r="C10" s="23"/>
      <c r="D10" s="5"/>
      <c r="E10" s="32"/>
      <c r="F10" s="31"/>
      <c r="G10" s="23"/>
      <c r="H10" s="5"/>
      <c r="I10" s="27"/>
    </row>
    <row r="11" spans="2:9" ht="18.75" customHeight="1" x14ac:dyDescent="0.35">
      <c r="B11" s="12"/>
      <c r="C11" s="23"/>
      <c r="D11" s="5"/>
      <c r="E11" s="32"/>
      <c r="F11" s="31"/>
      <c r="G11" s="23"/>
      <c r="H11" s="5"/>
      <c r="I11" s="27"/>
    </row>
    <row r="12" spans="2:9" ht="18.75" customHeight="1" x14ac:dyDescent="0.35">
      <c r="B12" s="12"/>
      <c r="C12" s="23"/>
      <c r="D12" s="5"/>
      <c r="E12" s="32"/>
      <c r="F12" s="31"/>
      <c r="G12" s="23"/>
      <c r="H12" s="5"/>
      <c r="I12" s="27"/>
    </row>
    <row r="13" spans="2:9" ht="18.75" customHeight="1" x14ac:dyDescent="0.35">
      <c r="B13" s="12"/>
      <c r="C13" s="23"/>
      <c r="D13" s="5"/>
      <c r="E13" s="32"/>
      <c r="F13" s="31"/>
      <c r="G13" s="23"/>
      <c r="H13" s="5"/>
      <c r="I13" s="27"/>
    </row>
    <row r="14" spans="2:9" ht="18.75" customHeight="1" x14ac:dyDescent="0.35">
      <c r="B14" s="12"/>
      <c r="C14" s="23"/>
      <c r="D14" s="5"/>
      <c r="E14" s="32"/>
      <c r="F14" s="31"/>
      <c r="G14" s="23"/>
      <c r="H14" s="5"/>
      <c r="I14" s="27"/>
    </row>
    <row r="15" spans="2:9" ht="18.75" customHeight="1" x14ac:dyDescent="0.35">
      <c r="B15" s="12"/>
      <c r="C15" s="23"/>
      <c r="D15" s="5"/>
      <c r="E15" s="32"/>
      <c r="F15" s="31"/>
      <c r="G15" s="23"/>
      <c r="H15" s="5"/>
      <c r="I15" s="27"/>
    </row>
    <row r="16" spans="2:9" ht="18.75" customHeight="1" x14ac:dyDescent="0.35">
      <c r="B16" s="12"/>
      <c r="C16" s="23"/>
      <c r="D16" s="5"/>
      <c r="E16" s="32"/>
      <c r="F16" s="31"/>
      <c r="G16" s="23"/>
      <c r="H16" s="5"/>
      <c r="I16" s="27"/>
    </row>
    <row r="17" spans="2:9" ht="18.75" customHeight="1" x14ac:dyDescent="0.35">
      <c r="B17" s="12"/>
      <c r="C17" s="23"/>
      <c r="D17" s="5"/>
      <c r="E17" s="32"/>
      <c r="F17" s="31"/>
      <c r="G17" s="23"/>
      <c r="H17" s="5"/>
      <c r="I17" s="27"/>
    </row>
    <row r="18" spans="2:9" ht="18.75" customHeight="1" x14ac:dyDescent="0.35">
      <c r="B18" s="33" t="s">
        <v>44</v>
      </c>
      <c r="C18" s="34"/>
      <c r="D18" s="35"/>
      <c r="E18" s="36"/>
      <c r="F18" s="37"/>
      <c r="G18" s="34"/>
      <c r="H18" s="35"/>
      <c r="I18" s="38"/>
    </row>
    <row r="19" spans="2:9" ht="45" customHeight="1" x14ac:dyDescent="0.35">
      <c r="B19" s="100" t="s">
        <v>67</v>
      </c>
      <c r="C19" s="100"/>
      <c r="D19" s="100"/>
      <c r="E19" s="100"/>
      <c r="F19" s="100"/>
      <c r="G19" s="100"/>
      <c r="H19" s="100"/>
      <c r="I19" s="100"/>
    </row>
    <row r="20" spans="2:9" ht="18.75" customHeight="1" x14ac:dyDescent="0.35"/>
    <row r="21" spans="2:9" ht="18.75" customHeight="1" x14ac:dyDescent="0.35"/>
    <row r="22" spans="2:9" ht="18.75" customHeight="1" x14ac:dyDescent="0.35"/>
    <row r="23" spans="2:9" x14ac:dyDescent="0.35">
      <c r="B23" s="98" t="s">
        <v>42</v>
      </c>
      <c r="C23" s="99"/>
      <c r="D23" s="99"/>
      <c r="E23" s="99"/>
      <c r="F23" s="99"/>
      <c r="G23" s="99"/>
      <c r="H23" s="99"/>
      <c r="I23" s="99"/>
    </row>
    <row r="25" spans="2:9" ht="48.75" customHeight="1" x14ac:dyDescent="0.35">
      <c r="B25" s="101" t="s">
        <v>106</v>
      </c>
      <c r="C25" s="101"/>
      <c r="D25" s="101"/>
      <c r="E25" s="101"/>
      <c r="F25" s="101"/>
      <c r="G25" s="101"/>
      <c r="H25" s="101"/>
      <c r="I25" s="101"/>
    </row>
    <row r="26" spans="2:9" x14ac:dyDescent="0.35">
      <c r="B26" s="13"/>
      <c r="C26" s="104" t="s">
        <v>45</v>
      </c>
      <c r="D26" s="104"/>
      <c r="E26" s="104"/>
      <c r="F26" s="13"/>
      <c r="G26" s="105" t="s">
        <v>46</v>
      </c>
      <c r="H26" s="105"/>
      <c r="I26" s="105"/>
    </row>
    <row r="27" spans="2:9" ht="30" customHeight="1" x14ac:dyDescent="0.35">
      <c r="B27" s="13"/>
      <c r="C27" s="104" t="s">
        <v>86</v>
      </c>
      <c r="D27" s="104"/>
      <c r="E27" s="104"/>
      <c r="F27" s="13"/>
      <c r="G27" s="105" t="s">
        <v>86</v>
      </c>
      <c r="H27" s="105"/>
      <c r="I27" s="105"/>
    </row>
    <row r="28" spans="2:9" ht="29" x14ac:dyDescent="0.35">
      <c r="B28" s="1" t="s">
        <v>1</v>
      </c>
      <c r="C28" s="77" t="s">
        <v>2</v>
      </c>
      <c r="D28" s="77" t="s">
        <v>47</v>
      </c>
      <c r="E28" s="77" t="s">
        <v>48</v>
      </c>
      <c r="F28" s="30"/>
      <c r="G28" s="88" t="s">
        <v>2</v>
      </c>
      <c r="H28" s="88" t="s">
        <v>47</v>
      </c>
      <c r="I28" s="88" t="s">
        <v>48</v>
      </c>
    </row>
    <row r="29" spans="2:9" ht="18.75" customHeight="1" x14ac:dyDescent="0.35">
      <c r="B29" s="12" t="s">
        <v>6</v>
      </c>
      <c r="C29" s="23">
        <v>10</v>
      </c>
      <c r="D29" s="5">
        <v>1</v>
      </c>
      <c r="E29" s="32">
        <f>D29/C29</f>
        <v>0.1</v>
      </c>
      <c r="F29" s="31"/>
      <c r="G29" s="23">
        <v>20</v>
      </c>
      <c r="H29" s="5">
        <v>3</v>
      </c>
      <c r="I29" s="25">
        <f>H29/G29</f>
        <v>0.15</v>
      </c>
    </row>
    <row r="30" spans="2:9" ht="18.75" customHeight="1" x14ac:dyDescent="0.35">
      <c r="B30" s="12" t="s">
        <v>7</v>
      </c>
      <c r="C30" s="23">
        <v>10</v>
      </c>
      <c r="D30" s="5">
        <v>2</v>
      </c>
      <c r="E30" s="32">
        <f t="shared" ref="E30:E39" si="0">D30/C30</f>
        <v>0.2</v>
      </c>
      <c r="F30" s="31"/>
      <c r="G30" s="23">
        <v>20</v>
      </c>
      <c r="H30" s="5">
        <v>5</v>
      </c>
      <c r="I30" s="27">
        <f t="shared" ref="I30:I39" si="1">H30/G30</f>
        <v>0.25</v>
      </c>
    </row>
    <row r="31" spans="2:9" ht="18.75" customHeight="1" x14ac:dyDescent="0.35">
      <c r="B31" s="12" t="s">
        <v>8</v>
      </c>
      <c r="C31" s="23">
        <v>10</v>
      </c>
      <c r="D31" s="5">
        <v>0</v>
      </c>
      <c r="E31" s="32">
        <f t="shared" si="0"/>
        <v>0</v>
      </c>
      <c r="F31" s="31"/>
      <c r="G31" s="23">
        <v>20</v>
      </c>
      <c r="H31" s="5">
        <v>1</v>
      </c>
      <c r="I31" s="27">
        <f t="shared" si="1"/>
        <v>0.05</v>
      </c>
    </row>
    <row r="32" spans="2:9" ht="18.75" customHeight="1" x14ac:dyDescent="0.35">
      <c r="B32" s="12" t="s">
        <v>9</v>
      </c>
      <c r="C32" s="23">
        <v>10</v>
      </c>
      <c r="D32" s="5">
        <v>1</v>
      </c>
      <c r="E32" s="32">
        <f t="shared" si="0"/>
        <v>0.1</v>
      </c>
      <c r="F32" s="31"/>
      <c r="G32" s="23">
        <v>20</v>
      </c>
      <c r="H32" s="5">
        <v>2</v>
      </c>
      <c r="I32" s="27">
        <f t="shared" si="1"/>
        <v>0.1</v>
      </c>
    </row>
    <row r="33" spans="2:9" ht="18.75" customHeight="1" x14ac:dyDescent="0.35">
      <c r="B33" s="12" t="s">
        <v>10</v>
      </c>
      <c r="C33" s="23">
        <v>10</v>
      </c>
      <c r="D33" s="5">
        <v>0</v>
      </c>
      <c r="E33" s="32">
        <f t="shared" si="0"/>
        <v>0</v>
      </c>
      <c r="F33" s="31"/>
      <c r="G33" s="23">
        <v>20</v>
      </c>
      <c r="H33" s="5">
        <v>0</v>
      </c>
      <c r="I33" s="27">
        <f t="shared" si="1"/>
        <v>0</v>
      </c>
    </row>
    <row r="34" spans="2:9" ht="18.75" customHeight="1" x14ac:dyDescent="0.35">
      <c r="B34" s="12" t="s">
        <v>19</v>
      </c>
      <c r="C34" s="23">
        <v>10</v>
      </c>
      <c r="D34" s="5">
        <v>1</v>
      </c>
      <c r="E34" s="32">
        <f t="shared" si="0"/>
        <v>0.1</v>
      </c>
      <c r="F34" s="31"/>
      <c r="G34" s="23">
        <v>20</v>
      </c>
      <c r="H34" s="5">
        <v>2</v>
      </c>
      <c r="I34" s="27">
        <f t="shared" si="1"/>
        <v>0.1</v>
      </c>
    </row>
    <row r="35" spans="2:9" ht="18.75" customHeight="1" x14ac:dyDescent="0.35">
      <c r="B35" s="12" t="s">
        <v>20</v>
      </c>
      <c r="C35" s="23">
        <v>10</v>
      </c>
      <c r="D35" s="5">
        <v>1</v>
      </c>
      <c r="E35" s="32">
        <f t="shared" si="0"/>
        <v>0.1</v>
      </c>
      <c r="F35" s="31"/>
      <c r="G35" s="23">
        <v>20</v>
      </c>
      <c r="H35" s="5">
        <v>3</v>
      </c>
      <c r="I35" s="27">
        <f t="shared" si="1"/>
        <v>0.15</v>
      </c>
    </row>
    <row r="36" spans="2:9" ht="18.75" customHeight="1" x14ac:dyDescent="0.35">
      <c r="B36" s="12" t="s">
        <v>21</v>
      </c>
      <c r="C36" s="23">
        <v>10</v>
      </c>
      <c r="D36" s="5">
        <v>0</v>
      </c>
      <c r="E36" s="32">
        <f t="shared" si="0"/>
        <v>0</v>
      </c>
      <c r="F36" s="31"/>
      <c r="G36" s="23">
        <v>20</v>
      </c>
      <c r="H36" s="5">
        <v>1</v>
      </c>
      <c r="I36" s="27">
        <f t="shared" si="1"/>
        <v>0.05</v>
      </c>
    </row>
    <row r="37" spans="2:9" ht="18.75" customHeight="1" x14ac:dyDescent="0.35">
      <c r="B37" s="12" t="s">
        <v>22</v>
      </c>
      <c r="C37" s="23">
        <v>10</v>
      </c>
      <c r="D37" s="5">
        <v>0</v>
      </c>
      <c r="E37" s="32">
        <f t="shared" si="0"/>
        <v>0</v>
      </c>
      <c r="F37" s="31"/>
      <c r="G37" s="23">
        <v>20</v>
      </c>
      <c r="H37" s="5">
        <v>0</v>
      </c>
      <c r="I37" s="27">
        <f t="shared" si="1"/>
        <v>0</v>
      </c>
    </row>
    <row r="38" spans="2:9" ht="18.75" customHeight="1" x14ac:dyDescent="0.35">
      <c r="B38" s="12" t="s">
        <v>23</v>
      </c>
      <c r="C38" s="23">
        <v>10</v>
      </c>
      <c r="D38" s="5">
        <v>1</v>
      </c>
      <c r="E38" s="32">
        <f t="shared" si="0"/>
        <v>0.1</v>
      </c>
      <c r="F38" s="31"/>
      <c r="G38" s="23">
        <v>20</v>
      </c>
      <c r="H38" s="5">
        <v>4</v>
      </c>
      <c r="I38" s="27">
        <f t="shared" si="1"/>
        <v>0.2</v>
      </c>
    </row>
    <row r="39" spans="2:9" ht="18.75" customHeight="1" x14ac:dyDescent="0.35">
      <c r="B39" s="33" t="s">
        <v>44</v>
      </c>
      <c r="C39" s="34">
        <v>100</v>
      </c>
      <c r="D39" s="35">
        <v>7</v>
      </c>
      <c r="E39" s="36">
        <f t="shared" si="0"/>
        <v>7.0000000000000007E-2</v>
      </c>
      <c r="F39" s="37"/>
      <c r="G39" s="34">
        <v>200</v>
      </c>
      <c r="H39" s="35">
        <v>21</v>
      </c>
      <c r="I39" s="38">
        <f t="shared" si="1"/>
        <v>0.105</v>
      </c>
    </row>
    <row r="40" spans="2:9" ht="45" customHeight="1" x14ac:dyDescent="0.35">
      <c r="B40" s="100" t="s">
        <v>67</v>
      </c>
      <c r="C40" s="100"/>
      <c r="D40" s="100"/>
      <c r="E40" s="100"/>
      <c r="F40" s="100"/>
      <c r="G40" s="100"/>
      <c r="H40" s="100"/>
      <c r="I40" s="100"/>
    </row>
  </sheetData>
  <mergeCells count="14">
    <mergeCell ref="B2:I2"/>
    <mergeCell ref="C6:E6"/>
    <mergeCell ref="G6:I6"/>
    <mergeCell ref="B4:I4"/>
    <mergeCell ref="C5:E5"/>
    <mergeCell ref="G5:I5"/>
    <mergeCell ref="B19:I19"/>
    <mergeCell ref="B25:I25"/>
    <mergeCell ref="B40:I40"/>
    <mergeCell ref="C26:E26"/>
    <mergeCell ref="G26:I26"/>
    <mergeCell ref="C27:E27"/>
    <mergeCell ref="G27:I27"/>
    <mergeCell ref="B23:I2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47B8-3B50-4025-B7CA-D88A7FA113B8}">
  <dimension ref="B2:I33"/>
  <sheetViews>
    <sheetView topLeftCell="A32" zoomScaleNormal="100" workbookViewId="0">
      <selection activeCell="E18" sqref="E18"/>
    </sheetView>
  </sheetViews>
  <sheetFormatPr defaultColWidth="9.1796875" defaultRowHeight="14.5" x14ac:dyDescent="0.35"/>
  <cols>
    <col min="1" max="1" width="9.1796875" style="7"/>
    <col min="2" max="2" width="14.26953125" style="7" customWidth="1"/>
    <col min="3" max="3" width="11.453125" style="7" customWidth="1"/>
    <col min="4" max="5" width="14.26953125" style="7" customWidth="1"/>
    <col min="6" max="6" width="2.81640625" style="7" customWidth="1"/>
    <col min="7" max="7" width="11.453125" style="7" customWidth="1"/>
    <col min="8" max="9" width="14.26953125" style="7" customWidth="1"/>
    <col min="10" max="16384" width="9.1796875" style="7"/>
  </cols>
  <sheetData>
    <row r="2" spans="2:9" x14ac:dyDescent="0.35">
      <c r="B2" s="98" t="s">
        <v>87</v>
      </c>
      <c r="C2" s="99"/>
      <c r="D2" s="99"/>
      <c r="E2" s="99"/>
      <c r="F2" s="99"/>
      <c r="G2" s="99"/>
      <c r="H2" s="99"/>
      <c r="I2" s="99"/>
    </row>
    <row r="4" spans="2:9" ht="33.75" customHeight="1" x14ac:dyDescent="0.35">
      <c r="B4" s="101" t="s">
        <v>107</v>
      </c>
      <c r="C4" s="101"/>
      <c r="D4" s="101"/>
      <c r="E4" s="101"/>
      <c r="F4" s="101"/>
      <c r="G4" s="101"/>
      <c r="H4" s="101"/>
      <c r="I4" s="101"/>
    </row>
    <row r="5" spans="2:9" x14ac:dyDescent="0.35">
      <c r="B5" s="13"/>
      <c r="C5" s="104" t="s">
        <v>45</v>
      </c>
      <c r="D5" s="104"/>
      <c r="E5" s="104"/>
      <c r="F5" s="13"/>
      <c r="G5" s="105" t="s">
        <v>46</v>
      </c>
      <c r="H5" s="105"/>
      <c r="I5" s="105"/>
    </row>
    <row r="6" spans="2:9" ht="30" customHeight="1" x14ac:dyDescent="0.35">
      <c r="B6" s="13"/>
      <c r="C6" s="104" t="s">
        <v>86</v>
      </c>
      <c r="D6" s="104"/>
      <c r="E6" s="104"/>
      <c r="F6" s="13"/>
      <c r="G6" s="105" t="s">
        <v>86</v>
      </c>
      <c r="H6" s="105"/>
      <c r="I6" s="105"/>
    </row>
    <row r="7" spans="2:9" ht="29" x14ac:dyDescent="0.35">
      <c r="B7" s="1" t="s">
        <v>0</v>
      </c>
      <c r="C7" s="77" t="s">
        <v>2</v>
      </c>
      <c r="D7" s="77" t="s">
        <v>47</v>
      </c>
      <c r="E7" s="77" t="s">
        <v>48</v>
      </c>
      <c r="F7" s="30"/>
      <c r="G7" s="88" t="s">
        <v>2</v>
      </c>
      <c r="H7" s="88" t="s">
        <v>47</v>
      </c>
      <c r="I7" s="88" t="s">
        <v>48</v>
      </c>
    </row>
    <row r="8" spans="2:9" ht="18.75" customHeight="1" x14ac:dyDescent="0.35">
      <c r="B8" s="12"/>
      <c r="C8" s="23"/>
      <c r="D8" s="5"/>
      <c r="E8" s="32"/>
      <c r="F8" s="31"/>
      <c r="G8" s="23"/>
      <c r="H8" s="5"/>
      <c r="I8" s="25"/>
    </row>
    <row r="9" spans="2:9" ht="18.75" customHeight="1" x14ac:dyDescent="0.35">
      <c r="B9" s="12"/>
      <c r="C9" s="23"/>
      <c r="D9" s="5"/>
      <c r="E9" s="32"/>
      <c r="F9" s="31"/>
      <c r="G9" s="23"/>
      <c r="H9" s="5"/>
      <c r="I9" s="27"/>
    </row>
    <row r="10" spans="2:9" ht="18.75" customHeight="1" x14ac:dyDescent="0.35">
      <c r="B10" s="12"/>
      <c r="C10" s="23"/>
      <c r="D10" s="5"/>
      <c r="E10" s="32"/>
      <c r="F10" s="31"/>
      <c r="G10" s="23"/>
      <c r="H10" s="5"/>
      <c r="I10" s="27"/>
    </row>
    <row r="11" spans="2:9" ht="18.75" customHeight="1" x14ac:dyDescent="0.35">
      <c r="B11" s="12"/>
      <c r="C11" s="23"/>
      <c r="D11" s="5"/>
      <c r="E11" s="32"/>
      <c r="F11" s="31"/>
      <c r="G11" s="23"/>
      <c r="H11" s="5"/>
      <c r="I11" s="27"/>
    </row>
    <row r="12" spans="2:9" ht="18.75" customHeight="1" x14ac:dyDescent="0.35">
      <c r="B12" s="12"/>
      <c r="C12" s="23"/>
      <c r="D12" s="5"/>
      <c r="E12" s="32"/>
      <c r="F12" s="31"/>
      <c r="G12" s="23"/>
      <c r="H12" s="5"/>
      <c r="I12" s="27"/>
    </row>
    <row r="13" spans="2:9" ht="18.75" customHeight="1" x14ac:dyDescent="0.35">
      <c r="B13" s="12"/>
      <c r="C13" s="23"/>
      <c r="D13" s="5"/>
      <c r="E13" s="32"/>
      <c r="F13" s="31"/>
      <c r="G13" s="23"/>
      <c r="H13" s="5"/>
      <c r="I13" s="27"/>
    </row>
    <row r="14" spans="2:9" ht="18.75" customHeight="1" x14ac:dyDescent="0.35">
      <c r="B14" s="12"/>
      <c r="C14" s="23"/>
      <c r="D14" s="5"/>
      <c r="E14" s="32"/>
      <c r="F14" s="31"/>
      <c r="G14" s="23"/>
      <c r="H14" s="5"/>
      <c r="I14" s="27"/>
    </row>
    <row r="15" spans="2:9" ht="18.75" customHeight="1" x14ac:dyDescent="0.35">
      <c r="B15" s="33" t="s">
        <v>44</v>
      </c>
      <c r="C15" s="34"/>
      <c r="D15" s="35"/>
      <c r="E15" s="36"/>
      <c r="F15" s="37"/>
      <c r="G15" s="34"/>
      <c r="H15" s="35"/>
      <c r="I15" s="38"/>
    </row>
    <row r="16" spans="2:9" ht="44.25" customHeight="1" x14ac:dyDescent="0.35">
      <c r="B16" s="100" t="s">
        <v>67</v>
      </c>
      <c r="C16" s="100"/>
      <c r="D16" s="100"/>
      <c r="E16" s="100"/>
      <c r="F16" s="100"/>
      <c r="G16" s="100"/>
      <c r="H16" s="100"/>
      <c r="I16" s="100"/>
    </row>
    <row r="17" spans="2:9" ht="18.75" customHeight="1" x14ac:dyDescent="0.35"/>
    <row r="18" spans="2:9" ht="18.75" customHeight="1" x14ac:dyDescent="0.35"/>
    <row r="19" spans="2:9" x14ac:dyDescent="0.35">
      <c r="B19" s="98" t="s">
        <v>42</v>
      </c>
      <c r="C19" s="99"/>
      <c r="D19" s="99"/>
      <c r="E19" s="99"/>
      <c r="F19" s="99"/>
      <c r="G19" s="99"/>
      <c r="H19" s="99"/>
      <c r="I19" s="99"/>
    </row>
    <row r="21" spans="2:9" ht="33.75" customHeight="1" x14ac:dyDescent="0.35">
      <c r="B21" s="101" t="s">
        <v>108</v>
      </c>
      <c r="C21" s="101"/>
      <c r="D21" s="101"/>
      <c r="E21" s="101"/>
      <c r="F21" s="101"/>
      <c r="G21" s="101"/>
      <c r="H21" s="101"/>
      <c r="I21" s="101"/>
    </row>
    <row r="22" spans="2:9" x14ac:dyDescent="0.35">
      <c r="B22" s="13"/>
      <c r="C22" s="104" t="s">
        <v>45</v>
      </c>
      <c r="D22" s="104"/>
      <c r="E22" s="104"/>
      <c r="F22" s="13"/>
      <c r="G22" s="105" t="s">
        <v>46</v>
      </c>
      <c r="H22" s="105"/>
      <c r="I22" s="105"/>
    </row>
    <row r="23" spans="2:9" ht="30" customHeight="1" x14ac:dyDescent="0.35">
      <c r="B23" s="13"/>
      <c r="C23" s="104" t="s">
        <v>86</v>
      </c>
      <c r="D23" s="104"/>
      <c r="E23" s="104"/>
      <c r="F23" s="13"/>
      <c r="G23" s="105" t="s">
        <v>86</v>
      </c>
      <c r="H23" s="105"/>
      <c r="I23" s="105"/>
    </row>
    <row r="24" spans="2:9" ht="29" x14ac:dyDescent="0.35">
      <c r="B24" s="1" t="s">
        <v>0</v>
      </c>
      <c r="C24" s="77" t="s">
        <v>2</v>
      </c>
      <c r="D24" s="77" t="s">
        <v>47</v>
      </c>
      <c r="E24" s="77" t="s">
        <v>48</v>
      </c>
      <c r="F24" s="30"/>
      <c r="G24" s="88" t="s">
        <v>2</v>
      </c>
      <c r="H24" s="88" t="s">
        <v>47</v>
      </c>
      <c r="I24" s="88" t="s">
        <v>48</v>
      </c>
    </row>
    <row r="25" spans="2:9" ht="18.75" customHeight="1" x14ac:dyDescent="0.35">
      <c r="B25" s="12" t="s">
        <v>3</v>
      </c>
      <c r="C25" s="23">
        <v>100</v>
      </c>
      <c r="D25" s="5">
        <v>7</v>
      </c>
      <c r="E25" s="32">
        <f>D25/C25</f>
        <v>7.0000000000000007E-2</v>
      </c>
      <c r="F25" s="31"/>
      <c r="G25" s="23">
        <v>200</v>
      </c>
      <c r="H25" s="5">
        <v>21</v>
      </c>
      <c r="I25" s="25">
        <f>H25/G25</f>
        <v>0.105</v>
      </c>
    </row>
    <row r="26" spans="2:9" ht="18.75" customHeight="1" x14ac:dyDescent="0.35">
      <c r="B26" s="12" t="s">
        <v>4</v>
      </c>
      <c r="C26" s="23">
        <v>140</v>
      </c>
      <c r="D26" s="5">
        <v>0</v>
      </c>
      <c r="E26" s="32">
        <f t="shared" ref="E26:E32" si="0">D26/C26</f>
        <v>0</v>
      </c>
      <c r="F26" s="31"/>
      <c r="G26" s="23">
        <v>280</v>
      </c>
      <c r="H26" s="5">
        <v>11</v>
      </c>
      <c r="I26" s="27">
        <f t="shared" ref="I26:I32" si="1">H26/G26</f>
        <v>3.9285714285714285E-2</v>
      </c>
    </row>
    <row r="27" spans="2:9" ht="18.75" customHeight="1" x14ac:dyDescent="0.35">
      <c r="B27" s="12" t="s">
        <v>49</v>
      </c>
      <c r="C27" s="23">
        <v>120</v>
      </c>
      <c r="D27" s="5">
        <v>0</v>
      </c>
      <c r="E27" s="32">
        <f t="shared" si="0"/>
        <v>0</v>
      </c>
      <c r="F27" s="31"/>
      <c r="G27" s="23">
        <v>240</v>
      </c>
      <c r="H27" s="5">
        <v>8</v>
      </c>
      <c r="I27" s="27">
        <f t="shared" si="1"/>
        <v>3.3333333333333333E-2</v>
      </c>
    </row>
    <row r="28" spans="2:9" ht="18.75" customHeight="1" x14ac:dyDescent="0.35">
      <c r="B28" s="12" t="s">
        <v>50</v>
      </c>
      <c r="C28" s="23">
        <v>130</v>
      </c>
      <c r="D28" s="5">
        <v>10</v>
      </c>
      <c r="E28" s="32">
        <f t="shared" si="0"/>
        <v>7.6923076923076927E-2</v>
      </c>
      <c r="F28" s="31"/>
      <c r="G28" s="23">
        <v>260</v>
      </c>
      <c r="H28" s="5">
        <v>24</v>
      </c>
      <c r="I28" s="27">
        <f t="shared" si="1"/>
        <v>9.2307692307692313E-2</v>
      </c>
    </row>
    <row r="29" spans="2:9" ht="18.75" customHeight="1" x14ac:dyDescent="0.35">
      <c r="B29" s="12" t="s">
        <v>51</v>
      </c>
      <c r="C29" s="23">
        <v>90</v>
      </c>
      <c r="D29" s="5">
        <v>0</v>
      </c>
      <c r="E29" s="32">
        <f t="shared" si="0"/>
        <v>0</v>
      </c>
      <c r="F29" s="31"/>
      <c r="G29" s="23">
        <v>180</v>
      </c>
      <c r="H29" s="5">
        <v>5</v>
      </c>
      <c r="I29" s="27">
        <f t="shared" si="1"/>
        <v>2.7777777777777776E-2</v>
      </c>
    </row>
    <row r="30" spans="2:9" ht="18.75" customHeight="1" x14ac:dyDescent="0.35">
      <c r="B30" s="12" t="s">
        <v>52</v>
      </c>
      <c r="C30" s="23">
        <v>110</v>
      </c>
      <c r="D30" s="5">
        <v>10</v>
      </c>
      <c r="E30" s="32">
        <f t="shared" si="0"/>
        <v>9.0909090909090912E-2</v>
      </c>
      <c r="F30" s="31"/>
      <c r="G30" s="23">
        <v>220</v>
      </c>
      <c r="H30" s="5">
        <v>20</v>
      </c>
      <c r="I30" s="27">
        <f t="shared" si="1"/>
        <v>9.0909090909090912E-2</v>
      </c>
    </row>
    <row r="31" spans="2:9" ht="18.75" customHeight="1" x14ac:dyDescent="0.35">
      <c r="B31" s="12" t="s">
        <v>53</v>
      </c>
      <c r="C31" s="23">
        <v>140</v>
      </c>
      <c r="D31" s="5">
        <v>10</v>
      </c>
      <c r="E31" s="32">
        <f t="shared" si="0"/>
        <v>7.1428571428571425E-2</v>
      </c>
      <c r="F31" s="31"/>
      <c r="G31" s="23">
        <v>280</v>
      </c>
      <c r="H31" s="5">
        <v>27</v>
      </c>
      <c r="I31" s="27">
        <f t="shared" si="1"/>
        <v>9.6428571428571433E-2</v>
      </c>
    </row>
    <row r="32" spans="2:9" ht="18.75" customHeight="1" x14ac:dyDescent="0.35">
      <c r="B32" s="33" t="s">
        <v>44</v>
      </c>
      <c r="C32" s="34">
        <f>SUM(C25:C31)</f>
        <v>830</v>
      </c>
      <c r="D32" s="35">
        <f>SUM(D25:D31)</f>
        <v>37</v>
      </c>
      <c r="E32" s="36">
        <f t="shared" si="0"/>
        <v>4.457831325301205E-2</v>
      </c>
      <c r="F32" s="37"/>
      <c r="G32" s="34">
        <f>SUM(G25:G31)</f>
        <v>1660</v>
      </c>
      <c r="H32" s="35">
        <f>SUM(H25:H31)</f>
        <v>116</v>
      </c>
      <c r="I32" s="38">
        <f t="shared" si="1"/>
        <v>6.9879518072289162E-2</v>
      </c>
    </row>
    <row r="33" spans="2:9" ht="44.25" customHeight="1" x14ac:dyDescent="0.35">
      <c r="B33" s="100" t="s">
        <v>67</v>
      </c>
      <c r="C33" s="100"/>
      <c r="D33" s="100"/>
      <c r="E33" s="100"/>
      <c r="F33" s="100"/>
      <c r="G33" s="100"/>
      <c r="H33" s="100"/>
      <c r="I33" s="100"/>
    </row>
  </sheetData>
  <mergeCells count="14">
    <mergeCell ref="B19:I19"/>
    <mergeCell ref="B21:I21"/>
    <mergeCell ref="C6:E6"/>
    <mergeCell ref="G6:I6"/>
    <mergeCell ref="B33:I33"/>
    <mergeCell ref="C22:E22"/>
    <mergeCell ref="G22:I22"/>
    <mergeCell ref="C23:E23"/>
    <mergeCell ref="G23:I23"/>
    <mergeCell ref="B2:I2"/>
    <mergeCell ref="B4:I4"/>
    <mergeCell ref="C5:E5"/>
    <mergeCell ref="G5:I5"/>
    <mergeCell ref="B16:I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4650-B524-46E0-90BF-56EAFFDF6799}">
  <dimension ref="B2:B5"/>
  <sheetViews>
    <sheetView workbookViewId="0"/>
  </sheetViews>
  <sheetFormatPr defaultColWidth="9.1796875" defaultRowHeight="14.5" x14ac:dyDescent="0.35"/>
  <cols>
    <col min="1" max="16384" width="9.1796875" style="52"/>
  </cols>
  <sheetData>
    <row r="2" spans="2:2" x14ac:dyDescent="0.35">
      <c r="B2" s="52" t="s">
        <v>98</v>
      </c>
    </row>
    <row r="3" spans="2:2" x14ac:dyDescent="0.35">
      <c r="B3" s="52" t="s">
        <v>59</v>
      </c>
    </row>
    <row r="5" spans="2:2" x14ac:dyDescent="0.35">
      <c r="B5" s="52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C0D6-7530-4532-9C73-A3A2B2BC1D9E}">
  <dimension ref="B2:AD39"/>
  <sheetViews>
    <sheetView topLeftCell="A27" zoomScaleNormal="100" workbookViewId="0">
      <selection activeCell="B25" sqref="B25"/>
    </sheetView>
  </sheetViews>
  <sheetFormatPr defaultColWidth="9.1796875" defaultRowHeight="14.5" x14ac:dyDescent="0.35"/>
  <cols>
    <col min="1" max="1" width="9.1796875" style="7"/>
    <col min="2" max="2" width="14.26953125" style="7" customWidth="1"/>
    <col min="3" max="15" width="10" style="7" customWidth="1"/>
    <col min="16" max="16" width="9.1796875" style="7"/>
    <col min="17" max="17" width="14.26953125" style="7" customWidth="1"/>
    <col min="18" max="30" width="10" style="7" customWidth="1"/>
    <col min="31" max="16384" width="9.1796875" style="7"/>
  </cols>
  <sheetData>
    <row r="2" spans="2:30" x14ac:dyDescent="0.35">
      <c r="B2" s="98" t="s">
        <v>93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Q2" s="98" t="s">
        <v>94</v>
      </c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</row>
    <row r="4" spans="2:30" ht="48.75" customHeight="1" x14ac:dyDescent="0.35">
      <c r="B4" s="101" t="s">
        <v>109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Q4" s="101" t="s">
        <v>110</v>
      </c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</row>
    <row r="5" spans="2:30" ht="15" customHeight="1" x14ac:dyDescent="0.35">
      <c r="B5" s="13"/>
      <c r="C5" s="51"/>
      <c r="D5" s="104" t="s">
        <v>86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Q5" s="13"/>
      <c r="R5" s="51"/>
      <c r="S5" s="105" t="s">
        <v>86</v>
      </c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</row>
    <row r="6" spans="2:30" ht="30" customHeight="1" x14ac:dyDescent="0.35">
      <c r="B6" s="106" t="s">
        <v>1</v>
      </c>
      <c r="C6" s="108" t="s">
        <v>2</v>
      </c>
      <c r="D6" s="110" t="s">
        <v>77</v>
      </c>
      <c r="E6" s="111"/>
      <c r="F6" s="112" t="s">
        <v>70</v>
      </c>
      <c r="G6" s="111"/>
      <c r="H6" s="112" t="s">
        <v>54</v>
      </c>
      <c r="I6" s="111"/>
      <c r="J6" s="112" t="s">
        <v>71</v>
      </c>
      <c r="K6" s="111"/>
      <c r="L6" s="112" t="s">
        <v>55</v>
      </c>
      <c r="M6" s="113"/>
      <c r="N6" s="110" t="s">
        <v>58</v>
      </c>
      <c r="O6" s="113"/>
      <c r="Q6" s="106" t="s">
        <v>1</v>
      </c>
      <c r="R6" s="114" t="s">
        <v>2</v>
      </c>
      <c r="S6" s="116" t="s">
        <v>77</v>
      </c>
      <c r="T6" s="117"/>
      <c r="U6" s="118" t="s">
        <v>70</v>
      </c>
      <c r="V6" s="117"/>
      <c r="W6" s="118" t="s">
        <v>54</v>
      </c>
      <c r="X6" s="117"/>
      <c r="Y6" s="118" t="s">
        <v>71</v>
      </c>
      <c r="Z6" s="117"/>
      <c r="AA6" s="118" t="s">
        <v>55</v>
      </c>
      <c r="AB6" s="119"/>
      <c r="AC6" s="116" t="s">
        <v>58</v>
      </c>
      <c r="AD6" s="119"/>
    </row>
    <row r="7" spans="2:30" x14ac:dyDescent="0.35">
      <c r="B7" s="107"/>
      <c r="C7" s="109"/>
      <c r="D7" s="81" t="s">
        <v>56</v>
      </c>
      <c r="E7" s="82" t="s">
        <v>57</v>
      </c>
      <c r="F7" s="77" t="s">
        <v>56</v>
      </c>
      <c r="G7" s="77" t="s">
        <v>57</v>
      </c>
      <c r="H7" s="77" t="s">
        <v>56</v>
      </c>
      <c r="I7" s="77" t="s">
        <v>57</v>
      </c>
      <c r="J7" s="77" t="s">
        <v>56</v>
      </c>
      <c r="K7" s="77" t="s">
        <v>57</v>
      </c>
      <c r="L7" s="77" t="s">
        <v>56</v>
      </c>
      <c r="M7" s="77" t="s">
        <v>57</v>
      </c>
      <c r="N7" s="81" t="s">
        <v>56</v>
      </c>
      <c r="O7" s="77" t="s">
        <v>57</v>
      </c>
      <c r="Q7" s="107"/>
      <c r="R7" s="115"/>
      <c r="S7" s="94" t="s">
        <v>56</v>
      </c>
      <c r="T7" s="95" t="s">
        <v>57</v>
      </c>
      <c r="U7" s="88" t="s">
        <v>56</v>
      </c>
      <c r="V7" s="88" t="s">
        <v>57</v>
      </c>
      <c r="W7" s="88" t="s">
        <v>56</v>
      </c>
      <c r="X7" s="88" t="s">
        <v>57</v>
      </c>
      <c r="Y7" s="88" t="s">
        <v>56</v>
      </c>
      <c r="Z7" s="88" t="s">
        <v>57</v>
      </c>
      <c r="AA7" s="88" t="s">
        <v>56</v>
      </c>
      <c r="AB7" s="88" t="s">
        <v>57</v>
      </c>
      <c r="AC7" s="94" t="s">
        <v>56</v>
      </c>
      <c r="AD7" s="88" t="s">
        <v>57</v>
      </c>
    </row>
    <row r="8" spans="2:30" ht="18.75" customHeight="1" x14ac:dyDescent="0.35">
      <c r="B8" s="12"/>
      <c r="C8" s="19"/>
      <c r="D8" s="48"/>
      <c r="E8" s="23"/>
      <c r="F8" s="23"/>
      <c r="G8" s="23"/>
      <c r="H8" s="23"/>
      <c r="I8" s="23"/>
      <c r="J8" s="23"/>
      <c r="K8" s="23"/>
      <c r="L8" s="23"/>
      <c r="M8" s="19"/>
      <c r="N8" s="43"/>
      <c r="O8" s="25"/>
      <c r="Q8" s="12"/>
      <c r="R8" s="19"/>
      <c r="S8" s="48"/>
      <c r="T8" s="23"/>
      <c r="U8" s="23"/>
      <c r="V8" s="23"/>
      <c r="W8" s="23"/>
      <c r="X8" s="23"/>
      <c r="Y8" s="23"/>
      <c r="Z8" s="23"/>
      <c r="AA8" s="23"/>
      <c r="AB8" s="19"/>
      <c r="AC8" s="43"/>
      <c r="AD8" s="25"/>
    </row>
    <row r="9" spans="2:30" ht="18.75" customHeight="1" x14ac:dyDescent="0.35">
      <c r="B9" s="12"/>
      <c r="C9" s="19"/>
      <c r="D9" s="48"/>
      <c r="E9" s="23"/>
      <c r="F9" s="23"/>
      <c r="G9" s="23"/>
      <c r="H9" s="23"/>
      <c r="I9" s="23"/>
      <c r="J9" s="23"/>
      <c r="K9" s="23"/>
      <c r="L9" s="23"/>
      <c r="M9" s="19"/>
      <c r="N9" s="43"/>
      <c r="O9" s="27"/>
      <c r="Q9" s="12"/>
      <c r="R9" s="19"/>
      <c r="S9" s="48"/>
      <c r="T9" s="23"/>
      <c r="U9" s="23"/>
      <c r="V9" s="23"/>
      <c r="W9" s="23"/>
      <c r="X9" s="23"/>
      <c r="Y9" s="23"/>
      <c r="Z9" s="23"/>
      <c r="AA9" s="23"/>
      <c r="AB9" s="19"/>
      <c r="AC9" s="43"/>
      <c r="AD9" s="27"/>
    </row>
    <row r="10" spans="2:30" ht="18.75" customHeight="1" x14ac:dyDescent="0.35">
      <c r="B10" s="12"/>
      <c r="C10" s="19"/>
      <c r="D10" s="48"/>
      <c r="E10" s="23"/>
      <c r="F10" s="23"/>
      <c r="G10" s="23"/>
      <c r="H10" s="23"/>
      <c r="I10" s="23"/>
      <c r="J10" s="23"/>
      <c r="K10" s="23"/>
      <c r="L10" s="23"/>
      <c r="M10" s="19"/>
      <c r="N10" s="43"/>
      <c r="O10" s="27"/>
      <c r="Q10" s="12"/>
      <c r="R10" s="19"/>
      <c r="S10" s="48"/>
      <c r="T10" s="23"/>
      <c r="U10" s="23"/>
      <c r="V10" s="23"/>
      <c r="W10" s="23"/>
      <c r="X10" s="23"/>
      <c r="Y10" s="23"/>
      <c r="Z10" s="23"/>
      <c r="AA10" s="23"/>
      <c r="AB10" s="19"/>
      <c r="AC10" s="43"/>
      <c r="AD10" s="27"/>
    </row>
    <row r="11" spans="2:30" ht="18.75" customHeight="1" x14ac:dyDescent="0.35">
      <c r="B11" s="12"/>
      <c r="C11" s="19"/>
      <c r="D11" s="48"/>
      <c r="E11" s="23"/>
      <c r="F11" s="23"/>
      <c r="G11" s="23"/>
      <c r="H11" s="23"/>
      <c r="I11" s="23"/>
      <c r="J11" s="23"/>
      <c r="K11" s="23"/>
      <c r="L11" s="23"/>
      <c r="M11" s="19"/>
      <c r="N11" s="43"/>
      <c r="O11" s="27"/>
      <c r="Q11" s="12"/>
      <c r="R11" s="19"/>
      <c r="S11" s="48"/>
      <c r="T11" s="23"/>
      <c r="U11" s="23"/>
      <c r="V11" s="23"/>
      <c r="W11" s="23"/>
      <c r="X11" s="23"/>
      <c r="Y11" s="23"/>
      <c r="Z11" s="23"/>
      <c r="AA11" s="23"/>
      <c r="AB11" s="19"/>
      <c r="AC11" s="43"/>
      <c r="AD11" s="27"/>
    </row>
    <row r="12" spans="2:30" ht="18.75" customHeight="1" x14ac:dyDescent="0.35">
      <c r="B12" s="12"/>
      <c r="C12" s="19"/>
      <c r="D12" s="48"/>
      <c r="E12" s="23"/>
      <c r="F12" s="23"/>
      <c r="G12" s="23"/>
      <c r="H12" s="23"/>
      <c r="I12" s="23"/>
      <c r="J12" s="23"/>
      <c r="K12" s="23"/>
      <c r="L12" s="23"/>
      <c r="M12" s="19"/>
      <c r="N12" s="43"/>
      <c r="O12" s="27"/>
      <c r="Q12" s="12"/>
      <c r="R12" s="19"/>
      <c r="S12" s="48"/>
      <c r="T12" s="23"/>
      <c r="U12" s="23"/>
      <c r="V12" s="23"/>
      <c r="W12" s="23"/>
      <c r="X12" s="23"/>
      <c r="Y12" s="23"/>
      <c r="Z12" s="23"/>
      <c r="AA12" s="23"/>
      <c r="AB12" s="19"/>
      <c r="AC12" s="43"/>
      <c r="AD12" s="27"/>
    </row>
    <row r="13" spans="2:30" ht="18.75" customHeight="1" x14ac:dyDescent="0.35">
      <c r="B13" s="12"/>
      <c r="C13" s="19"/>
      <c r="D13" s="48"/>
      <c r="E13" s="23"/>
      <c r="F13" s="23"/>
      <c r="G13" s="23"/>
      <c r="H13" s="23"/>
      <c r="I13" s="23"/>
      <c r="J13" s="23"/>
      <c r="K13" s="23"/>
      <c r="L13" s="23"/>
      <c r="M13" s="19"/>
      <c r="N13" s="43"/>
      <c r="O13" s="27"/>
      <c r="Q13" s="12"/>
      <c r="R13" s="19"/>
      <c r="S13" s="48"/>
      <c r="T13" s="23"/>
      <c r="U13" s="23"/>
      <c r="V13" s="23"/>
      <c r="W13" s="23"/>
      <c r="X13" s="23"/>
      <c r="Y13" s="23"/>
      <c r="Z13" s="23"/>
      <c r="AA13" s="23"/>
      <c r="AB13" s="19"/>
      <c r="AC13" s="43"/>
      <c r="AD13" s="27"/>
    </row>
    <row r="14" spans="2:30" ht="18.75" customHeight="1" x14ac:dyDescent="0.35">
      <c r="B14" s="12"/>
      <c r="C14" s="19"/>
      <c r="D14" s="48"/>
      <c r="E14" s="23"/>
      <c r="F14" s="23"/>
      <c r="G14" s="23"/>
      <c r="H14" s="23"/>
      <c r="I14" s="23"/>
      <c r="J14" s="23"/>
      <c r="K14" s="23"/>
      <c r="L14" s="23"/>
      <c r="M14" s="19"/>
      <c r="N14" s="43"/>
      <c r="O14" s="27"/>
      <c r="Q14" s="12"/>
      <c r="R14" s="19"/>
      <c r="S14" s="48"/>
      <c r="T14" s="23"/>
      <c r="U14" s="23"/>
      <c r="V14" s="23"/>
      <c r="W14" s="23"/>
      <c r="X14" s="23"/>
      <c r="Y14" s="23"/>
      <c r="Z14" s="23"/>
      <c r="AA14" s="23"/>
      <c r="AB14" s="19"/>
      <c r="AC14" s="43"/>
      <c r="AD14" s="27"/>
    </row>
    <row r="15" spans="2:30" ht="18.75" customHeight="1" x14ac:dyDescent="0.35">
      <c r="B15" s="12"/>
      <c r="C15" s="19"/>
      <c r="D15" s="48"/>
      <c r="E15" s="23"/>
      <c r="F15" s="23"/>
      <c r="G15" s="23"/>
      <c r="H15" s="23"/>
      <c r="I15" s="23"/>
      <c r="J15" s="23"/>
      <c r="K15" s="23"/>
      <c r="L15" s="23"/>
      <c r="M15" s="19"/>
      <c r="N15" s="43"/>
      <c r="O15" s="27"/>
      <c r="Q15" s="12"/>
      <c r="R15" s="19"/>
      <c r="S15" s="48"/>
      <c r="T15" s="23"/>
      <c r="U15" s="23"/>
      <c r="V15" s="23"/>
      <c r="W15" s="23"/>
      <c r="X15" s="23"/>
      <c r="Y15" s="23"/>
      <c r="Z15" s="23"/>
      <c r="AA15" s="23"/>
      <c r="AB15" s="19"/>
      <c r="AC15" s="43"/>
      <c r="AD15" s="27"/>
    </row>
    <row r="16" spans="2:30" ht="18.75" customHeight="1" x14ac:dyDescent="0.35">
      <c r="B16" s="12"/>
      <c r="C16" s="19"/>
      <c r="D16" s="48"/>
      <c r="E16" s="23"/>
      <c r="F16" s="23"/>
      <c r="G16" s="23"/>
      <c r="H16" s="23"/>
      <c r="I16" s="23"/>
      <c r="J16" s="23"/>
      <c r="K16" s="23"/>
      <c r="L16" s="23"/>
      <c r="M16" s="19"/>
      <c r="N16" s="43"/>
      <c r="O16" s="27"/>
      <c r="Q16" s="12"/>
      <c r="R16" s="19"/>
      <c r="S16" s="48"/>
      <c r="T16" s="23"/>
      <c r="U16" s="23"/>
      <c r="V16" s="23"/>
      <c r="W16" s="23"/>
      <c r="X16" s="23"/>
      <c r="Y16" s="23"/>
      <c r="Z16" s="23"/>
      <c r="AA16" s="23"/>
      <c r="AB16" s="19"/>
      <c r="AC16" s="43"/>
      <c r="AD16" s="27"/>
    </row>
    <row r="17" spans="2:30" ht="18.75" customHeight="1" x14ac:dyDescent="0.35">
      <c r="B17" s="12"/>
      <c r="C17" s="19"/>
      <c r="D17" s="48"/>
      <c r="E17" s="23"/>
      <c r="F17" s="23"/>
      <c r="G17" s="23"/>
      <c r="H17" s="23"/>
      <c r="I17" s="23"/>
      <c r="J17" s="23"/>
      <c r="K17" s="23"/>
      <c r="L17" s="23"/>
      <c r="M17" s="19"/>
      <c r="N17" s="43"/>
      <c r="O17" s="27"/>
      <c r="Q17" s="12"/>
      <c r="R17" s="19"/>
      <c r="S17" s="48"/>
      <c r="T17" s="23"/>
      <c r="U17" s="23"/>
      <c r="V17" s="23"/>
      <c r="W17" s="23"/>
      <c r="X17" s="23"/>
      <c r="Y17" s="23"/>
      <c r="Z17" s="23"/>
      <c r="AA17" s="23"/>
      <c r="AB17" s="19"/>
      <c r="AC17" s="43"/>
      <c r="AD17" s="27"/>
    </row>
    <row r="18" spans="2:30" ht="18.75" customHeight="1" x14ac:dyDescent="0.35">
      <c r="B18" s="33" t="s">
        <v>44</v>
      </c>
      <c r="C18" s="50"/>
      <c r="D18" s="47"/>
      <c r="E18" s="34"/>
      <c r="F18" s="34"/>
      <c r="G18" s="34"/>
      <c r="H18" s="34"/>
      <c r="I18" s="34"/>
      <c r="J18" s="34"/>
      <c r="K18" s="34"/>
      <c r="L18" s="34"/>
      <c r="M18" s="50"/>
      <c r="N18" s="44"/>
      <c r="O18" s="38"/>
      <c r="Q18" s="33" t="s">
        <v>44</v>
      </c>
      <c r="R18" s="50"/>
      <c r="S18" s="47"/>
      <c r="T18" s="34"/>
      <c r="U18" s="34"/>
      <c r="V18" s="34"/>
      <c r="W18" s="34"/>
      <c r="X18" s="34"/>
      <c r="Y18" s="34"/>
      <c r="Z18" s="34"/>
      <c r="AA18" s="34"/>
      <c r="AB18" s="50"/>
      <c r="AC18" s="44"/>
      <c r="AD18" s="38"/>
    </row>
    <row r="19" spans="2:30" ht="45" customHeight="1" x14ac:dyDescent="0.35">
      <c r="B19" s="100" t="s">
        <v>66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Q19" s="100" t="s">
        <v>66</v>
      </c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</row>
    <row r="20" spans="2:30" ht="18.75" customHeight="1" x14ac:dyDescent="0.35"/>
    <row r="21" spans="2:30" ht="18.75" customHeight="1" x14ac:dyDescent="0.35"/>
    <row r="22" spans="2:30" x14ac:dyDescent="0.35">
      <c r="B22" s="98" t="s">
        <v>95</v>
      </c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Q22" s="98" t="s">
        <v>96</v>
      </c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</row>
    <row r="24" spans="2:30" ht="48.75" customHeight="1" x14ac:dyDescent="0.35">
      <c r="B24" s="101" t="s">
        <v>112</v>
      </c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Q24" s="101" t="s">
        <v>111</v>
      </c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</row>
    <row r="25" spans="2:30" ht="15" customHeight="1" x14ac:dyDescent="0.35">
      <c r="B25" s="13"/>
      <c r="C25" s="51"/>
      <c r="D25" s="104" t="s">
        <v>86</v>
      </c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Q25" s="13"/>
      <c r="R25" s="51"/>
      <c r="S25" s="105" t="s">
        <v>86</v>
      </c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</row>
    <row r="26" spans="2:30" ht="30" customHeight="1" x14ac:dyDescent="0.35">
      <c r="B26" s="106" t="s">
        <v>1</v>
      </c>
      <c r="C26" s="108" t="s">
        <v>2</v>
      </c>
      <c r="D26" s="110" t="s">
        <v>77</v>
      </c>
      <c r="E26" s="111"/>
      <c r="F26" s="112" t="s">
        <v>70</v>
      </c>
      <c r="G26" s="111"/>
      <c r="H26" s="112" t="s">
        <v>54</v>
      </c>
      <c r="I26" s="111"/>
      <c r="J26" s="112" t="s">
        <v>71</v>
      </c>
      <c r="K26" s="111"/>
      <c r="L26" s="112" t="s">
        <v>55</v>
      </c>
      <c r="M26" s="113"/>
      <c r="N26" s="110" t="s">
        <v>58</v>
      </c>
      <c r="O26" s="113"/>
      <c r="Q26" s="106" t="s">
        <v>1</v>
      </c>
      <c r="R26" s="114" t="s">
        <v>2</v>
      </c>
      <c r="S26" s="116" t="s">
        <v>77</v>
      </c>
      <c r="T26" s="117"/>
      <c r="U26" s="118" t="s">
        <v>70</v>
      </c>
      <c r="V26" s="117"/>
      <c r="W26" s="118" t="s">
        <v>54</v>
      </c>
      <c r="X26" s="117"/>
      <c r="Y26" s="118" t="s">
        <v>71</v>
      </c>
      <c r="Z26" s="117"/>
      <c r="AA26" s="118" t="s">
        <v>55</v>
      </c>
      <c r="AB26" s="119"/>
      <c r="AC26" s="116" t="s">
        <v>58</v>
      </c>
      <c r="AD26" s="119"/>
    </row>
    <row r="27" spans="2:30" x14ac:dyDescent="0.35">
      <c r="B27" s="107"/>
      <c r="C27" s="109"/>
      <c r="D27" s="81" t="s">
        <v>56</v>
      </c>
      <c r="E27" s="82" t="s">
        <v>57</v>
      </c>
      <c r="F27" s="77" t="s">
        <v>56</v>
      </c>
      <c r="G27" s="77" t="s">
        <v>57</v>
      </c>
      <c r="H27" s="77" t="s">
        <v>56</v>
      </c>
      <c r="I27" s="77" t="s">
        <v>57</v>
      </c>
      <c r="J27" s="77" t="s">
        <v>56</v>
      </c>
      <c r="K27" s="77" t="s">
        <v>57</v>
      </c>
      <c r="L27" s="77" t="s">
        <v>56</v>
      </c>
      <c r="M27" s="77" t="s">
        <v>57</v>
      </c>
      <c r="N27" s="81" t="s">
        <v>56</v>
      </c>
      <c r="O27" s="77" t="s">
        <v>57</v>
      </c>
      <c r="Q27" s="107"/>
      <c r="R27" s="115"/>
      <c r="S27" s="94" t="s">
        <v>56</v>
      </c>
      <c r="T27" s="95" t="s">
        <v>57</v>
      </c>
      <c r="U27" s="88" t="s">
        <v>56</v>
      </c>
      <c r="V27" s="88" t="s">
        <v>57</v>
      </c>
      <c r="W27" s="88" t="s">
        <v>56</v>
      </c>
      <c r="X27" s="88" t="s">
        <v>57</v>
      </c>
      <c r="Y27" s="88" t="s">
        <v>56</v>
      </c>
      <c r="Z27" s="88" t="s">
        <v>57</v>
      </c>
      <c r="AA27" s="88" t="s">
        <v>56</v>
      </c>
      <c r="AB27" s="88" t="s">
        <v>57</v>
      </c>
      <c r="AC27" s="94" t="s">
        <v>56</v>
      </c>
      <c r="AD27" s="88" t="s">
        <v>57</v>
      </c>
    </row>
    <row r="28" spans="2:30" ht="18.75" customHeight="1" x14ac:dyDescent="0.35">
      <c r="B28" s="12" t="s">
        <v>6</v>
      </c>
      <c r="C28" s="19">
        <v>10</v>
      </c>
      <c r="D28" s="48">
        <v>0</v>
      </c>
      <c r="E28" s="41">
        <f>D28/$C28</f>
        <v>0</v>
      </c>
      <c r="F28" s="23">
        <v>0</v>
      </c>
      <c r="G28" s="41">
        <f>F28/$C28</f>
        <v>0</v>
      </c>
      <c r="H28" s="23">
        <v>0</v>
      </c>
      <c r="I28" s="41">
        <f>H28/$C28</f>
        <v>0</v>
      </c>
      <c r="J28" s="23">
        <v>0</v>
      </c>
      <c r="K28" s="41">
        <f>J28/$C28</f>
        <v>0</v>
      </c>
      <c r="L28" s="23">
        <v>1</v>
      </c>
      <c r="M28" s="45">
        <f>L28/$C28</f>
        <v>0.1</v>
      </c>
      <c r="N28" s="48">
        <f>D28+F28+H28+J28+L28</f>
        <v>1</v>
      </c>
      <c r="O28" s="49">
        <f>N28/$C28</f>
        <v>0.1</v>
      </c>
      <c r="Q28" s="12" t="s">
        <v>6</v>
      </c>
      <c r="R28" s="19">
        <v>20</v>
      </c>
      <c r="S28" s="48">
        <v>1</v>
      </c>
      <c r="T28" s="41">
        <f>S28/$R28</f>
        <v>0.05</v>
      </c>
      <c r="U28" s="23">
        <v>0</v>
      </c>
      <c r="V28" s="41">
        <f>U28/$R28</f>
        <v>0</v>
      </c>
      <c r="W28" s="23">
        <v>0</v>
      </c>
      <c r="X28" s="41">
        <f>W28/$R28</f>
        <v>0</v>
      </c>
      <c r="Y28" s="23">
        <v>0</v>
      </c>
      <c r="Z28" s="41">
        <f>Y28/$R28</f>
        <v>0</v>
      </c>
      <c r="AA28" s="23">
        <v>1</v>
      </c>
      <c r="AB28" s="45">
        <f>AA28/$C28</f>
        <v>0.1</v>
      </c>
      <c r="AC28" s="48">
        <f>S28+U28+W28+Y28+AA28</f>
        <v>2</v>
      </c>
      <c r="AD28" s="49">
        <f>AC28/$R28</f>
        <v>0.1</v>
      </c>
    </row>
    <row r="29" spans="2:30" ht="18.75" customHeight="1" x14ac:dyDescent="0.35">
      <c r="B29" s="12" t="s">
        <v>7</v>
      </c>
      <c r="C29" s="19">
        <v>10</v>
      </c>
      <c r="D29" s="48">
        <v>0</v>
      </c>
      <c r="E29" s="41">
        <f t="shared" ref="E29:G38" si="0">D29/$C29</f>
        <v>0</v>
      </c>
      <c r="F29" s="23">
        <v>1</v>
      </c>
      <c r="G29" s="41">
        <f t="shared" si="0"/>
        <v>0.1</v>
      </c>
      <c r="H29" s="23">
        <v>0</v>
      </c>
      <c r="I29" s="41">
        <f t="shared" ref="I29" si="1">H29/$C29</f>
        <v>0</v>
      </c>
      <c r="J29" s="23">
        <v>0</v>
      </c>
      <c r="K29" s="41">
        <f t="shared" ref="K29" si="2">J29/$C29</f>
        <v>0</v>
      </c>
      <c r="L29" s="23">
        <v>0</v>
      </c>
      <c r="M29" s="45">
        <f t="shared" ref="M29" si="3">L29/$C29</f>
        <v>0</v>
      </c>
      <c r="N29" s="48">
        <f t="shared" ref="N29:N37" si="4">D29+F29+H29+J29+L29</f>
        <v>1</v>
      </c>
      <c r="O29" s="45">
        <f t="shared" ref="O29" si="5">N29/$C29</f>
        <v>0.1</v>
      </c>
      <c r="Q29" s="12" t="s">
        <v>7</v>
      </c>
      <c r="R29" s="19">
        <v>20</v>
      </c>
      <c r="S29" s="48">
        <v>1</v>
      </c>
      <c r="T29" s="41">
        <f t="shared" ref="T29:T37" si="6">S29/$R29</f>
        <v>0.05</v>
      </c>
      <c r="U29" s="23">
        <v>1</v>
      </c>
      <c r="V29" s="41">
        <f t="shared" ref="V29" si="7">U29/$R29</f>
        <v>0.05</v>
      </c>
      <c r="W29" s="23">
        <v>1</v>
      </c>
      <c r="X29" s="41">
        <f t="shared" ref="X29" si="8">W29/$R29</f>
        <v>0.05</v>
      </c>
      <c r="Y29" s="23">
        <v>0</v>
      </c>
      <c r="Z29" s="41">
        <f t="shared" ref="Z29" si="9">Y29/$R29</f>
        <v>0</v>
      </c>
      <c r="AA29" s="23">
        <v>0</v>
      </c>
      <c r="AB29" s="45">
        <f t="shared" ref="AB29:AB37" si="10">AA29/$C29</f>
        <v>0</v>
      </c>
      <c r="AC29" s="48">
        <f t="shared" ref="AC29:AC37" si="11">S29+U29+W29+Y29+AA29</f>
        <v>3</v>
      </c>
      <c r="AD29" s="45">
        <f t="shared" ref="AD29:AD37" si="12">AC29/$R29</f>
        <v>0.15</v>
      </c>
    </row>
    <row r="30" spans="2:30" ht="18.75" customHeight="1" x14ac:dyDescent="0.35">
      <c r="B30" s="12" t="s">
        <v>8</v>
      </c>
      <c r="C30" s="19">
        <v>10</v>
      </c>
      <c r="D30" s="48">
        <v>1</v>
      </c>
      <c r="E30" s="41">
        <f t="shared" si="0"/>
        <v>0.1</v>
      </c>
      <c r="F30" s="23">
        <v>0</v>
      </c>
      <c r="G30" s="41">
        <f t="shared" si="0"/>
        <v>0</v>
      </c>
      <c r="H30" s="23">
        <v>0</v>
      </c>
      <c r="I30" s="41">
        <f t="shared" ref="I30" si="13">H30/$C30</f>
        <v>0</v>
      </c>
      <c r="J30" s="23">
        <v>0</v>
      </c>
      <c r="K30" s="41">
        <f t="shared" ref="K30" si="14">J30/$C30</f>
        <v>0</v>
      </c>
      <c r="L30" s="23">
        <v>0</v>
      </c>
      <c r="M30" s="45">
        <f t="shared" ref="M30" si="15">L30/$C30</f>
        <v>0</v>
      </c>
      <c r="N30" s="48">
        <f t="shared" si="4"/>
        <v>1</v>
      </c>
      <c r="O30" s="45">
        <f t="shared" ref="O30" si="16">N30/$C30</f>
        <v>0.1</v>
      </c>
      <c r="Q30" s="12" t="s">
        <v>8</v>
      </c>
      <c r="R30" s="19">
        <v>20</v>
      </c>
      <c r="S30" s="48">
        <v>1</v>
      </c>
      <c r="T30" s="41">
        <f t="shared" si="6"/>
        <v>0.05</v>
      </c>
      <c r="U30" s="23">
        <v>0</v>
      </c>
      <c r="V30" s="41">
        <f t="shared" ref="V30" si="17">U30/$R30</f>
        <v>0</v>
      </c>
      <c r="W30" s="23">
        <v>2</v>
      </c>
      <c r="X30" s="41">
        <f t="shared" ref="X30" si="18">W30/$R30</f>
        <v>0.1</v>
      </c>
      <c r="Y30" s="23">
        <v>0</v>
      </c>
      <c r="Z30" s="41">
        <f t="shared" ref="Z30" si="19">Y30/$R30</f>
        <v>0</v>
      </c>
      <c r="AA30" s="23">
        <v>0</v>
      </c>
      <c r="AB30" s="45">
        <f t="shared" si="10"/>
        <v>0</v>
      </c>
      <c r="AC30" s="48">
        <f t="shared" si="11"/>
        <v>3</v>
      </c>
      <c r="AD30" s="45">
        <f t="shared" si="12"/>
        <v>0.15</v>
      </c>
    </row>
    <row r="31" spans="2:30" ht="18.75" customHeight="1" x14ac:dyDescent="0.35">
      <c r="B31" s="12" t="s">
        <v>9</v>
      </c>
      <c r="C31" s="19">
        <v>10</v>
      </c>
      <c r="D31" s="48">
        <v>0</v>
      </c>
      <c r="E31" s="41">
        <f t="shared" si="0"/>
        <v>0</v>
      </c>
      <c r="F31" s="23">
        <v>0</v>
      </c>
      <c r="G31" s="41">
        <f t="shared" si="0"/>
        <v>0</v>
      </c>
      <c r="H31" s="23">
        <v>0</v>
      </c>
      <c r="I31" s="41">
        <f t="shared" ref="I31" si="20">H31/$C31</f>
        <v>0</v>
      </c>
      <c r="J31" s="23">
        <v>0</v>
      </c>
      <c r="K31" s="41">
        <f t="shared" ref="K31" si="21">J31/$C31</f>
        <v>0</v>
      </c>
      <c r="L31" s="23">
        <v>0</v>
      </c>
      <c r="M31" s="45">
        <f t="shared" ref="M31" si="22">L31/$C31</f>
        <v>0</v>
      </c>
      <c r="N31" s="48">
        <f t="shared" si="4"/>
        <v>0</v>
      </c>
      <c r="O31" s="45">
        <f t="shared" ref="O31" si="23">N31/$C31</f>
        <v>0</v>
      </c>
      <c r="Q31" s="12" t="s">
        <v>9</v>
      </c>
      <c r="R31" s="19">
        <v>20</v>
      </c>
      <c r="S31" s="48">
        <v>1</v>
      </c>
      <c r="T31" s="41">
        <f t="shared" si="6"/>
        <v>0.05</v>
      </c>
      <c r="U31" s="23">
        <v>0</v>
      </c>
      <c r="V31" s="41">
        <f t="shared" ref="V31" si="24">U31/$R31</f>
        <v>0</v>
      </c>
      <c r="W31" s="23">
        <v>0</v>
      </c>
      <c r="X31" s="41">
        <f t="shared" ref="X31" si="25">W31/$R31</f>
        <v>0</v>
      </c>
      <c r="Y31" s="23">
        <v>0</v>
      </c>
      <c r="Z31" s="41">
        <f t="shared" ref="Z31" si="26">Y31/$R31</f>
        <v>0</v>
      </c>
      <c r="AA31" s="23">
        <v>0</v>
      </c>
      <c r="AB31" s="45">
        <f t="shared" si="10"/>
        <v>0</v>
      </c>
      <c r="AC31" s="48">
        <f t="shared" si="11"/>
        <v>1</v>
      </c>
      <c r="AD31" s="45">
        <f t="shared" si="12"/>
        <v>0.05</v>
      </c>
    </row>
    <row r="32" spans="2:30" ht="18.75" customHeight="1" x14ac:dyDescent="0.35">
      <c r="B32" s="12" t="s">
        <v>10</v>
      </c>
      <c r="C32" s="19">
        <v>10</v>
      </c>
      <c r="D32" s="48">
        <v>1</v>
      </c>
      <c r="E32" s="41">
        <f t="shared" si="0"/>
        <v>0.1</v>
      </c>
      <c r="F32" s="23">
        <v>0</v>
      </c>
      <c r="G32" s="41">
        <f t="shared" si="0"/>
        <v>0</v>
      </c>
      <c r="H32" s="23">
        <v>0</v>
      </c>
      <c r="I32" s="41">
        <f t="shared" ref="I32" si="27">H32/$C32</f>
        <v>0</v>
      </c>
      <c r="J32" s="23">
        <v>0</v>
      </c>
      <c r="K32" s="41">
        <f t="shared" ref="K32" si="28">J32/$C32</f>
        <v>0</v>
      </c>
      <c r="L32" s="23">
        <v>0</v>
      </c>
      <c r="M32" s="45">
        <f t="shared" ref="M32" si="29">L32/$C32</f>
        <v>0</v>
      </c>
      <c r="N32" s="48">
        <f t="shared" si="4"/>
        <v>1</v>
      </c>
      <c r="O32" s="45">
        <f t="shared" ref="O32" si="30">N32/$C32</f>
        <v>0.1</v>
      </c>
      <c r="Q32" s="12" t="s">
        <v>10</v>
      </c>
      <c r="R32" s="19">
        <v>20</v>
      </c>
      <c r="S32" s="48">
        <v>1</v>
      </c>
      <c r="T32" s="41">
        <f t="shared" si="6"/>
        <v>0.05</v>
      </c>
      <c r="U32" s="23">
        <v>0</v>
      </c>
      <c r="V32" s="41">
        <f t="shared" ref="V32" si="31">U32/$R32</f>
        <v>0</v>
      </c>
      <c r="W32" s="23">
        <v>0</v>
      </c>
      <c r="X32" s="41">
        <f t="shared" ref="X32" si="32">W32/$R32</f>
        <v>0</v>
      </c>
      <c r="Y32" s="23">
        <v>0</v>
      </c>
      <c r="Z32" s="41">
        <f t="shared" ref="Z32" si="33">Y32/$R32</f>
        <v>0</v>
      </c>
      <c r="AA32" s="23">
        <v>0</v>
      </c>
      <c r="AB32" s="45">
        <f t="shared" si="10"/>
        <v>0</v>
      </c>
      <c r="AC32" s="48">
        <f t="shared" si="11"/>
        <v>1</v>
      </c>
      <c r="AD32" s="45">
        <f t="shared" si="12"/>
        <v>0.05</v>
      </c>
    </row>
    <row r="33" spans="2:30" ht="18.75" customHeight="1" x14ac:dyDescent="0.35">
      <c r="B33" s="12" t="s">
        <v>19</v>
      </c>
      <c r="C33" s="19">
        <v>10</v>
      </c>
      <c r="D33" s="48">
        <v>0</v>
      </c>
      <c r="E33" s="41">
        <f t="shared" si="0"/>
        <v>0</v>
      </c>
      <c r="F33" s="23">
        <v>0</v>
      </c>
      <c r="G33" s="41">
        <f t="shared" si="0"/>
        <v>0</v>
      </c>
      <c r="H33" s="23">
        <v>1</v>
      </c>
      <c r="I33" s="41">
        <f t="shared" ref="I33" si="34">H33/$C33</f>
        <v>0.1</v>
      </c>
      <c r="J33" s="23">
        <v>0</v>
      </c>
      <c r="K33" s="41">
        <f t="shared" ref="K33" si="35">J33/$C33</f>
        <v>0</v>
      </c>
      <c r="L33" s="23">
        <v>0</v>
      </c>
      <c r="M33" s="45">
        <f t="shared" ref="M33" si="36">L33/$C33</f>
        <v>0</v>
      </c>
      <c r="N33" s="48">
        <f t="shared" si="4"/>
        <v>1</v>
      </c>
      <c r="O33" s="45">
        <f t="shared" ref="O33" si="37">N33/$C33</f>
        <v>0.1</v>
      </c>
      <c r="Q33" s="12" t="s">
        <v>19</v>
      </c>
      <c r="R33" s="19">
        <v>20</v>
      </c>
      <c r="S33" s="48">
        <v>0</v>
      </c>
      <c r="T33" s="41">
        <f t="shared" si="6"/>
        <v>0</v>
      </c>
      <c r="U33" s="23">
        <v>1</v>
      </c>
      <c r="V33" s="41">
        <f t="shared" ref="V33" si="38">U33/$R33</f>
        <v>0.05</v>
      </c>
      <c r="W33" s="23">
        <v>1</v>
      </c>
      <c r="X33" s="41">
        <f t="shared" ref="X33" si="39">W33/$R33</f>
        <v>0.05</v>
      </c>
      <c r="Y33" s="23">
        <v>0</v>
      </c>
      <c r="Z33" s="41">
        <f t="shared" ref="Z33" si="40">Y33/$R33</f>
        <v>0</v>
      </c>
      <c r="AA33" s="23">
        <v>0</v>
      </c>
      <c r="AB33" s="45">
        <f t="shared" si="10"/>
        <v>0</v>
      </c>
      <c r="AC33" s="48">
        <f t="shared" si="11"/>
        <v>2</v>
      </c>
      <c r="AD33" s="45">
        <f t="shared" si="12"/>
        <v>0.1</v>
      </c>
    </row>
    <row r="34" spans="2:30" ht="18.75" customHeight="1" x14ac:dyDescent="0.35">
      <c r="B34" s="12" t="s">
        <v>20</v>
      </c>
      <c r="C34" s="19">
        <v>10</v>
      </c>
      <c r="D34" s="48">
        <v>0</v>
      </c>
      <c r="E34" s="41">
        <f t="shared" si="0"/>
        <v>0</v>
      </c>
      <c r="F34" s="23">
        <v>1</v>
      </c>
      <c r="G34" s="41">
        <f t="shared" si="0"/>
        <v>0.1</v>
      </c>
      <c r="H34" s="23">
        <v>0</v>
      </c>
      <c r="I34" s="41">
        <f t="shared" ref="I34" si="41">H34/$C34</f>
        <v>0</v>
      </c>
      <c r="J34" s="23">
        <v>0</v>
      </c>
      <c r="K34" s="41">
        <f t="shared" ref="K34" si="42">J34/$C34</f>
        <v>0</v>
      </c>
      <c r="L34" s="23">
        <v>0</v>
      </c>
      <c r="M34" s="45">
        <f t="shared" ref="M34" si="43">L34/$C34</f>
        <v>0</v>
      </c>
      <c r="N34" s="48">
        <f t="shared" si="4"/>
        <v>1</v>
      </c>
      <c r="O34" s="45">
        <f t="shared" ref="O34" si="44">N34/$C34</f>
        <v>0.1</v>
      </c>
      <c r="Q34" s="12" t="s">
        <v>20</v>
      </c>
      <c r="R34" s="19">
        <v>20</v>
      </c>
      <c r="S34" s="48">
        <v>2</v>
      </c>
      <c r="T34" s="41">
        <f t="shared" si="6"/>
        <v>0.1</v>
      </c>
      <c r="U34" s="23">
        <v>1</v>
      </c>
      <c r="V34" s="41">
        <f t="shared" ref="V34" si="45">U34/$R34</f>
        <v>0.05</v>
      </c>
      <c r="W34" s="23">
        <v>0</v>
      </c>
      <c r="X34" s="41">
        <f t="shared" ref="X34" si="46">W34/$R34</f>
        <v>0</v>
      </c>
      <c r="Y34" s="23">
        <v>0</v>
      </c>
      <c r="Z34" s="41">
        <f t="shared" ref="Z34" si="47">Y34/$R34</f>
        <v>0</v>
      </c>
      <c r="AA34" s="23">
        <v>0</v>
      </c>
      <c r="AB34" s="45">
        <f t="shared" si="10"/>
        <v>0</v>
      </c>
      <c r="AC34" s="48">
        <f t="shared" si="11"/>
        <v>3</v>
      </c>
      <c r="AD34" s="45">
        <f t="shared" si="12"/>
        <v>0.15</v>
      </c>
    </row>
    <row r="35" spans="2:30" ht="18.75" customHeight="1" x14ac:dyDescent="0.35">
      <c r="B35" s="12" t="s">
        <v>21</v>
      </c>
      <c r="C35" s="19">
        <v>10</v>
      </c>
      <c r="D35" s="48">
        <v>0</v>
      </c>
      <c r="E35" s="41">
        <f t="shared" si="0"/>
        <v>0</v>
      </c>
      <c r="F35" s="23">
        <v>0</v>
      </c>
      <c r="G35" s="41">
        <f t="shared" si="0"/>
        <v>0</v>
      </c>
      <c r="H35" s="23">
        <v>0</v>
      </c>
      <c r="I35" s="41">
        <f t="shared" ref="I35" si="48">H35/$C35</f>
        <v>0</v>
      </c>
      <c r="J35" s="23">
        <v>0</v>
      </c>
      <c r="K35" s="41">
        <f t="shared" ref="K35" si="49">J35/$C35</f>
        <v>0</v>
      </c>
      <c r="L35" s="23">
        <v>0</v>
      </c>
      <c r="M35" s="45">
        <f t="shared" ref="M35" si="50">L35/$C35</f>
        <v>0</v>
      </c>
      <c r="N35" s="48">
        <f t="shared" si="4"/>
        <v>0</v>
      </c>
      <c r="O35" s="45">
        <f t="shared" ref="O35" si="51">N35/$C35</f>
        <v>0</v>
      </c>
      <c r="Q35" s="12" t="s">
        <v>21</v>
      </c>
      <c r="R35" s="19">
        <v>20</v>
      </c>
      <c r="S35" s="48">
        <v>1</v>
      </c>
      <c r="T35" s="41">
        <f t="shared" si="6"/>
        <v>0.05</v>
      </c>
      <c r="U35" s="23">
        <v>0</v>
      </c>
      <c r="V35" s="41">
        <f t="shared" ref="V35" si="52">U35/$R35</f>
        <v>0</v>
      </c>
      <c r="W35" s="23">
        <v>0</v>
      </c>
      <c r="X35" s="41">
        <f t="shared" ref="X35" si="53">W35/$R35</f>
        <v>0</v>
      </c>
      <c r="Y35" s="23">
        <v>0</v>
      </c>
      <c r="Z35" s="41">
        <f t="shared" ref="Z35" si="54">Y35/$R35</f>
        <v>0</v>
      </c>
      <c r="AA35" s="23">
        <v>0</v>
      </c>
      <c r="AB35" s="45">
        <f t="shared" si="10"/>
        <v>0</v>
      </c>
      <c r="AC35" s="48">
        <f t="shared" si="11"/>
        <v>1</v>
      </c>
      <c r="AD35" s="45">
        <f t="shared" si="12"/>
        <v>0.05</v>
      </c>
    </row>
    <row r="36" spans="2:30" ht="18.75" customHeight="1" x14ac:dyDescent="0.35">
      <c r="B36" s="12" t="s">
        <v>22</v>
      </c>
      <c r="C36" s="19">
        <v>10</v>
      </c>
      <c r="D36" s="48">
        <v>2</v>
      </c>
      <c r="E36" s="41">
        <f t="shared" si="0"/>
        <v>0.2</v>
      </c>
      <c r="F36" s="23">
        <v>0</v>
      </c>
      <c r="G36" s="41">
        <f t="shared" si="0"/>
        <v>0</v>
      </c>
      <c r="H36" s="23">
        <v>1</v>
      </c>
      <c r="I36" s="41">
        <f t="shared" ref="I36" si="55">H36/$C36</f>
        <v>0.1</v>
      </c>
      <c r="J36" s="23">
        <v>0</v>
      </c>
      <c r="K36" s="41">
        <f t="shared" ref="K36" si="56">J36/$C36</f>
        <v>0</v>
      </c>
      <c r="L36" s="23">
        <v>0</v>
      </c>
      <c r="M36" s="45">
        <f t="shared" ref="M36" si="57">L36/$C36</f>
        <v>0</v>
      </c>
      <c r="N36" s="48">
        <f t="shared" si="4"/>
        <v>3</v>
      </c>
      <c r="O36" s="45">
        <f t="shared" ref="O36" si="58">N36/$C36</f>
        <v>0.3</v>
      </c>
      <c r="Q36" s="12" t="s">
        <v>22</v>
      </c>
      <c r="R36" s="19">
        <v>20</v>
      </c>
      <c r="S36" s="48">
        <v>3</v>
      </c>
      <c r="T36" s="41">
        <f t="shared" si="6"/>
        <v>0.15</v>
      </c>
      <c r="U36" s="23">
        <v>0</v>
      </c>
      <c r="V36" s="41">
        <f t="shared" ref="V36" si="59">U36/$R36</f>
        <v>0</v>
      </c>
      <c r="W36" s="23">
        <v>3</v>
      </c>
      <c r="X36" s="41">
        <f t="shared" ref="X36" si="60">W36/$R36</f>
        <v>0.15</v>
      </c>
      <c r="Y36" s="23">
        <v>0</v>
      </c>
      <c r="Z36" s="41">
        <f t="shared" ref="Z36" si="61">Y36/$R36</f>
        <v>0</v>
      </c>
      <c r="AA36" s="23">
        <v>0</v>
      </c>
      <c r="AB36" s="45">
        <f t="shared" si="10"/>
        <v>0</v>
      </c>
      <c r="AC36" s="48">
        <f t="shared" si="11"/>
        <v>6</v>
      </c>
      <c r="AD36" s="45">
        <f t="shared" si="12"/>
        <v>0.3</v>
      </c>
    </row>
    <row r="37" spans="2:30" ht="18.75" customHeight="1" x14ac:dyDescent="0.35">
      <c r="B37" s="12" t="s">
        <v>23</v>
      </c>
      <c r="C37" s="19">
        <v>10</v>
      </c>
      <c r="D37" s="48">
        <v>0</v>
      </c>
      <c r="E37" s="41">
        <f t="shared" si="0"/>
        <v>0</v>
      </c>
      <c r="F37" s="23">
        <v>1</v>
      </c>
      <c r="G37" s="41">
        <f t="shared" si="0"/>
        <v>0.1</v>
      </c>
      <c r="H37" s="23">
        <v>0</v>
      </c>
      <c r="I37" s="41">
        <f t="shared" ref="I37" si="62">H37/$C37</f>
        <v>0</v>
      </c>
      <c r="J37" s="23">
        <v>0</v>
      </c>
      <c r="K37" s="41">
        <f t="shared" ref="K37" si="63">J37/$C37</f>
        <v>0</v>
      </c>
      <c r="L37" s="23">
        <v>0</v>
      </c>
      <c r="M37" s="45">
        <f t="shared" ref="M37" si="64">L37/$C37</f>
        <v>0</v>
      </c>
      <c r="N37" s="48">
        <f t="shared" si="4"/>
        <v>1</v>
      </c>
      <c r="O37" s="45">
        <f t="shared" ref="O37" si="65">N37/$C37</f>
        <v>0.1</v>
      </c>
      <c r="Q37" s="12" t="s">
        <v>23</v>
      </c>
      <c r="R37" s="19">
        <v>20</v>
      </c>
      <c r="S37" s="48">
        <v>2</v>
      </c>
      <c r="T37" s="41">
        <f t="shared" si="6"/>
        <v>0.1</v>
      </c>
      <c r="U37" s="23">
        <v>1</v>
      </c>
      <c r="V37" s="41">
        <f t="shared" ref="V37" si="66">U37/$R37</f>
        <v>0.05</v>
      </c>
      <c r="W37" s="23">
        <v>0</v>
      </c>
      <c r="X37" s="41">
        <f t="shared" ref="X37" si="67">W37/$R37</f>
        <v>0</v>
      </c>
      <c r="Y37" s="23">
        <v>0</v>
      </c>
      <c r="Z37" s="41">
        <f t="shared" ref="Z37" si="68">Y37/$R37</f>
        <v>0</v>
      </c>
      <c r="AA37" s="23">
        <v>0</v>
      </c>
      <c r="AB37" s="45">
        <f t="shared" si="10"/>
        <v>0</v>
      </c>
      <c r="AC37" s="48">
        <f t="shared" si="11"/>
        <v>3</v>
      </c>
      <c r="AD37" s="45">
        <f t="shared" si="12"/>
        <v>0.15</v>
      </c>
    </row>
    <row r="38" spans="2:30" ht="18.75" customHeight="1" x14ac:dyDescent="0.35">
      <c r="B38" s="33" t="s">
        <v>44</v>
      </c>
      <c r="C38" s="50">
        <f>SUM(C28:C37)</f>
        <v>100</v>
      </c>
      <c r="D38" s="47">
        <f>SUM(D28:D37)</f>
        <v>4</v>
      </c>
      <c r="E38" s="42">
        <f t="shared" si="0"/>
        <v>0.04</v>
      </c>
      <c r="F38" s="34">
        <f>SUM(F28:F37)</f>
        <v>3</v>
      </c>
      <c r="G38" s="42">
        <f t="shared" si="0"/>
        <v>0.03</v>
      </c>
      <c r="H38" s="34">
        <f>SUM(H28:H37)</f>
        <v>2</v>
      </c>
      <c r="I38" s="42">
        <f t="shared" ref="I38" si="69">H38/$C38</f>
        <v>0.02</v>
      </c>
      <c r="J38" s="34">
        <f>SUM(J28:J37)</f>
        <v>0</v>
      </c>
      <c r="K38" s="42">
        <f t="shared" ref="K38" si="70">J38/$C38</f>
        <v>0</v>
      </c>
      <c r="L38" s="34">
        <f>SUM(L28:L37)</f>
        <v>1</v>
      </c>
      <c r="M38" s="46">
        <f t="shared" ref="M38" si="71">L38/$C38</f>
        <v>0.01</v>
      </c>
      <c r="N38" s="47">
        <f>SUM(N28:N37)</f>
        <v>10</v>
      </c>
      <c r="O38" s="46">
        <f t="shared" ref="O38" si="72">N38/$C38</f>
        <v>0.1</v>
      </c>
      <c r="Q38" s="33" t="s">
        <v>44</v>
      </c>
      <c r="R38" s="50">
        <f>SUM(R28:R37)</f>
        <v>200</v>
      </c>
      <c r="S38" s="47">
        <f>SUM(S28:S37)</f>
        <v>13</v>
      </c>
      <c r="T38" s="42">
        <f>S38/$R38</f>
        <v>6.5000000000000002E-2</v>
      </c>
      <c r="U38" s="34">
        <f>SUM(U28:U37)</f>
        <v>4</v>
      </c>
      <c r="V38" s="42">
        <f>U38/$R38</f>
        <v>0.02</v>
      </c>
      <c r="W38" s="34">
        <f>SUM(W28:W37)</f>
        <v>7</v>
      </c>
      <c r="X38" s="42">
        <f>W38/$R38</f>
        <v>3.5000000000000003E-2</v>
      </c>
      <c r="Y38" s="34">
        <f>SUM(Y28:Y37)</f>
        <v>0</v>
      </c>
      <c r="Z38" s="42">
        <f>Y38/$R38</f>
        <v>0</v>
      </c>
      <c r="AA38" s="34">
        <f>SUM(AA28:AA37)</f>
        <v>1</v>
      </c>
      <c r="AB38" s="46">
        <f>AA38/$R38</f>
        <v>5.0000000000000001E-3</v>
      </c>
      <c r="AC38" s="47">
        <f>SUM(AC28:AC37)</f>
        <v>25</v>
      </c>
      <c r="AD38" s="46">
        <f>AC38/$R38</f>
        <v>0.125</v>
      </c>
    </row>
    <row r="39" spans="2:30" ht="45" customHeight="1" x14ac:dyDescent="0.35">
      <c r="B39" s="100" t="s">
        <v>66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Q39" s="100" t="s">
        <v>66</v>
      </c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</row>
  </sheetData>
  <mergeCells count="48">
    <mergeCell ref="Q39:AD39"/>
    <mergeCell ref="Q19:AD19"/>
    <mergeCell ref="Q22:AD22"/>
    <mergeCell ref="Q24:AD24"/>
    <mergeCell ref="S25:AD25"/>
    <mergeCell ref="Q26:Q27"/>
    <mergeCell ref="R26:R27"/>
    <mergeCell ref="S26:T26"/>
    <mergeCell ref="U26:V26"/>
    <mergeCell ref="W26:X26"/>
    <mergeCell ref="Y26:Z26"/>
    <mergeCell ref="AA26:AB26"/>
    <mergeCell ref="AC26:AD26"/>
    <mergeCell ref="Q2:AD2"/>
    <mergeCell ref="Q4:AD4"/>
    <mergeCell ref="S5:AD5"/>
    <mergeCell ref="Q6:Q7"/>
    <mergeCell ref="R6:R7"/>
    <mergeCell ref="S6:T6"/>
    <mergeCell ref="U6:V6"/>
    <mergeCell ref="W6:X6"/>
    <mergeCell ref="Y6:Z6"/>
    <mergeCell ref="AA6:AB6"/>
    <mergeCell ref="AC6:AD6"/>
    <mergeCell ref="B2:O2"/>
    <mergeCell ref="B4:O4"/>
    <mergeCell ref="C6:C7"/>
    <mergeCell ref="H26:I26"/>
    <mergeCell ref="J26:K26"/>
    <mergeCell ref="L26:M26"/>
    <mergeCell ref="D6:E6"/>
    <mergeCell ref="D25:O25"/>
    <mergeCell ref="F6:G6"/>
    <mergeCell ref="B24:O24"/>
    <mergeCell ref="B19:O19"/>
    <mergeCell ref="B22:O22"/>
    <mergeCell ref="N26:O26"/>
    <mergeCell ref="D5:O5"/>
    <mergeCell ref="H6:I6"/>
    <mergeCell ref="J6:K6"/>
    <mergeCell ref="B39:O39"/>
    <mergeCell ref="B6:B7"/>
    <mergeCell ref="B26:B27"/>
    <mergeCell ref="C26:C27"/>
    <mergeCell ref="D26:E26"/>
    <mergeCell ref="F26:G26"/>
    <mergeCell ref="L6:M6"/>
    <mergeCell ref="N6:O6"/>
  </mergeCells>
  <pageMargins left="0.7" right="0.7" top="0.75" bottom="0.75" header="0.3" footer="0.3"/>
  <ignoredErrors>
    <ignoredError sqref="N28:N37 E38:N38 T38 U38:AC38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FCDF-033D-4AC9-9B6F-60D7CE169BD4}">
  <dimension ref="B2:AD38"/>
  <sheetViews>
    <sheetView zoomScaleNormal="100" workbookViewId="0">
      <selection activeCell="Q5" sqref="Q5"/>
    </sheetView>
  </sheetViews>
  <sheetFormatPr defaultColWidth="9.1796875" defaultRowHeight="14.5" x14ac:dyDescent="0.35"/>
  <cols>
    <col min="1" max="1" width="9.1796875" style="7"/>
    <col min="2" max="2" width="14.26953125" style="7" customWidth="1"/>
    <col min="3" max="15" width="10" style="7" customWidth="1"/>
    <col min="16" max="16" width="9.1796875" style="7"/>
    <col min="17" max="17" width="14.26953125" style="7" customWidth="1"/>
    <col min="18" max="30" width="10" style="7" customWidth="1"/>
    <col min="31" max="16384" width="9.1796875" style="7"/>
  </cols>
  <sheetData>
    <row r="2" spans="2:30" x14ac:dyDescent="0.35">
      <c r="B2" s="98" t="s">
        <v>93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Q2" s="98" t="s">
        <v>94</v>
      </c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</row>
    <row r="4" spans="2:30" ht="33.75" customHeight="1" x14ac:dyDescent="0.35">
      <c r="B4" s="101" t="s">
        <v>113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Q4" s="101" t="s">
        <v>116</v>
      </c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</row>
    <row r="5" spans="2:30" ht="15" customHeight="1" x14ac:dyDescent="0.35">
      <c r="B5" s="13"/>
      <c r="C5" s="51"/>
      <c r="D5" s="104" t="s">
        <v>86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Q5" s="13"/>
      <c r="R5" s="51"/>
      <c r="S5" s="105" t="s">
        <v>86</v>
      </c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</row>
    <row r="6" spans="2:30" ht="30" customHeight="1" x14ac:dyDescent="0.35">
      <c r="B6" s="106" t="s">
        <v>0</v>
      </c>
      <c r="C6" s="108" t="s">
        <v>2</v>
      </c>
      <c r="D6" s="110" t="s">
        <v>77</v>
      </c>
      <c r="E6" s="111"/>
      <c r="F6" s="112" t="s">
        <v>70</v>
      </c>
      <c r="G6" s="111"/>
      <c r="H6" s="112" t="s">
        <v>54</v>
      </c>
      <c r="I6" s="111"/>
      <c r="J6" s="112" t="s">
        <v>71</v>
      </c>
      <c r="K6" s="111"/>
      <c r="L6" s="112" t="s">
        <v>55</v>
      </c>
      <c r="M6" s="113"/>
      <c r="N6" s="110" t="s">
        <v>58</v>
      </c>
      <c r="O6" s="113"/>
      <c r="Q6" s="106" t="s">
        <v>0</v>
      </c>
      <c r="R6" s="114" t="s">
        <v>2</v>
      </c>
      <c r="S6" s="116" t="s">
        <v>77</v>
      </c>
      <c r="T6" s="117"/>
      <c r="U6" s="118" t="s">
        <v>70</v>
      </c>
      <c r="V6" s="117"/>
      <c r="W6" s="118" t="s">
        <v>54</v>
      </c>
      <c r="X6" s="117"/>
      <c r="Y6" s="118" t="s">
        <v>71</v>
      </c>
      <c r="Z6" s="117"/>
      <c r="AA6" s="118" t="s">
        <v>55</v>
      </c>
      <c r="AB6" s="119"/>
      <c r="AC6" s="116" t="s">
        <v>58</v>
      </c>
      <c r="AD6" s="119"/>
    </row>
    <row r="7" spans="2:30" x14ac:dyDescent="0.35">
      <c r="B7" s="107"/>
      <c r="C7" s="109"/>
      <c r="D7" s="81" t="s">
        <v>56</v>
      </c>
      <c r="E7" s="82" t="s">
        <v>57</v>
      </c>
      <c r="F7" s="77" t="s">
        <v>56</v>
      </c>
      <c r="G7" s="77" t="s">
        <v>57</v>
      </c>
      <c r="H7" s="77" t="s">
        <v>56</v>
      </c>
      <c r="I7" s="77" t="s">
        <v>57</v>
      </c>
      <c r="J7" s="77" t="s">
        <v>56</v>
      </c>
      <c r="K7" s="77" t="s">
        <v>57</v>
      </c>
      <c r="L7" s="77" t="s">
        <v>56</v>
      </c>
      <c r="M7" s="77" t="s">
        <v>57</v>
      </c>
      <c r="N7" s="81" t="s">
        <v>56</v>
      </c>
      <c r="O7" s="77" t="s">
        <v>57</v>
      </c>
      <c r="Q7" s="107"/>
      <c r="R7" s="115"/>
      <c r="S7" s="94" t="s">
        <v>56</v>
      </c>
      <c r="T7" s="95" t="s">
        <v>57</v>
      </c>
      <c r="U7" s="88" t="s">
        <v>56</v>
      </c>
      <c r="V7" s="88" t="s">
        <v>57</v>
      </c>
      <c r="W7" s="88" t="s">
        <v>56</v>
      </c>
      <c r="X7" s="88" t="s">
        <v>57</v>
      </c>
      <c r="Y7" s="88" t="s">
        <v>56</v>
      </c>
      <c r="Z7" s="88" t="s">
        <v>57</v>
      </c>
      <c r="AA7" s="88" t="s">
        <v>56</v>
      </c>
      <c r="AB7" s="88" t="s">
        <v>57</v>
      </c>
      <c r="AC7" s="94" t="s">
        <v>56</v>
      </c>
      <c r="AD7" s="88" t="s">
        <v>57</v>
      </c>
    </row>
    <row r="8" spans="2:30" ht="18.75" customHeight="1" x14ac:dyDescent="0.35">
      <c r="B8" s="12"/>
      <c r="C8" s="19"/>
      <c r="D8" s="48"/>
      <c r="E8" s="23"/>
      <c r="F8" s="23"/>
      <c r="G8" s="23"/>
      <c r="H8" s="23"/>
      <c r="I8" s="23"/>
      <c r="J8" s="23"/>
      <c r="K8" s="23"/>
      <c r="L8" s="23"/>
      <c r="M8" s="19"/>
      <c r="N8" s="43"/>
      <c r="O8" s="25"/>
      <c r="Q8" s="12"/>
      <c r="R8" s="19"/>
      <c r="S8" s="48"/>
      <c r="T8" s="23"/>
      <c r="U8" s="23"/>
      <c r="V8" s="23"/>
      <c r="W8" s="23"/>
      <c r="X8" s="23"/>
      <c r="Y8" s="23"/>
      <c r="Z8" s="23"/>
      <c r="AA8" s="23"/>
      <c r="AB8" s="19"/>
      <c r="AC8" s="43"/>
      <c r="AD8" s="25"/>
    </row>
    <row r="9" spans="2:30" ht="18.75" customHeight="1" x14ac:dyDescent="0.35">
      <c r="B9" s="12"/>
      <c r="C9" s="19"/>
      <c r="D9" s="48"/>
      <c r="E9" s="23"/>
      <c r="F9" s="23"/>
      <c r="G9" s="23"/>
      <c r="H9" s="23"/>
      <c r="I9" s="23"/>
      <c r="J9" s="23"/>
      <c r="K9" s="23"/>
      <c r="L9" s="23"/>
      <c r="M9" s="19"/>
      <c r="N9" s="43"/>
      <c r="O9" s="27"/>
      <c r="Q9" s="12"/>
      <c r="R9" s="19"/>
      <c r="S9" s="48"/>
      <c r="T9" s="23"/>
      <c r="U9" s="23"/>
      <c r="V9" s="23"/>
      <c r="W9" s="23"/>
      <c r="X9" s="23"/>
      <c r="Y9" s="23"/>
      <c r="Z9" s="23"/>
      <c r="AA9" s="23"/>
      <c r="AB9" s="19"/>
      <c r="AC9" s="43"/>
      <c r="AD9" s="27"/>
    </row>
    <row r="10" spans="2:30" ht="18.75" customHeight="1" x14ac:dyDescent="0.35">
      <c r="B10" s="12"/>
      <c r="C10" s="19"/>
      <c r="D10" s="48"/>
      <c r="E10" s="23"/>
      <c r="F10" s="23"/>
      <c r="G10" s="23"/>
      <c r="H10" s="23"/>
      <c r="I10" s="23"/>
      <c r="J10" s="23"/>
      <c r="K10" s="23"/>
      <c r="L10" s="23"/>
      <c r="M10" s="19"/>
      <c r="N10" s="43"/>
      <c r="O10" s="27"/>
      <c r="Q10" s="12"/>
      <c r="R10" s="19"/>
      <c r="S10" s="48"/>
      <c r="T10" s="23"/>
      <c r="U10" s="23"/>
      <c r="V10" s="23"/>
      <c r="W10" s="23"/>
      <c r="X10" s="23"/>
      <c r="Y10" s="23"/>
      <c r="Z10" s="23"/>
      <c r="AA10" s="23"/>
      <c r="AB10" s="19"/>
      <c r="AC10" s="43"/>
      <c r="AD10" s="27"/>
    </row>
    <row r="11" spans="2:30" ht="18.75" customHeight="1" x14ac:dyDescent="0.35">
      <c r="B11" s="12"/>
      <c r="C11" s="19"/>
      <c r="D11" s="48"/>
      <c r="E11" s="23"/>
      <c r="F11" s="23"/>
      <c r="G11" s="23"/>
      <c r="H11" s="23"/>
      <c r="I11" s="23"/>
      <c r="J11" s="23"/>
      <c r="K11" s="23"/>
      <c r="L11" s="23"/>
      <c r="M11" s="19"/>
      <c r="N11" s="43"/>
      <c r="O11" s="27"/>
      <c r="Q11" s="12"/>
      <c r="R11" s="19"/>
      <c r="S11" s="48"/>
      <c r="T11" s="23"/>
      <c r="U11" s="23"/>
      <c r="V11" s="23"/>
      <c r="W11" s="23"/>
      <c r="X11" s="23"/>
      <c r="Y11" s="23"/>
      <c r="Z11" s="23"/>
      <c r="AA11" s="23"/>
      <c r="AB11" s="19"/>
      <c r="AC11" s="43"/>
      <c r="AD11" s="27"/>
    </row>
    <row r="12" spans="2:30" ht="18.75" customHeight="1" x14ac:dyDescent="0.35">
      <c r="B12" s="12"/>
      <c r="C12" s="19"/>
      <c r="D12" s="48"/>
      <c r="E12" s="23"/>
      <c r="F12" s="23"/>
      <c r="G12" s="23"/>
      <c r="H12" s="23"/>
      <c r="I12" s="23"/>
      <c r="J12" s="23"/>
      <c r="K12" s="23"/>
      <c r="L12" s="23"/>
      <c r="M12" s="19"/>
      <c r="N12" s="43"/>
      <c r="O12" s="27"/>
      <c r="Q12" s="12"/>
      <c r="R12" s="19"/>
      <c r="S12" s="48"/>
      <c r="T12" s="23"/>
      <c r="U12" s="23"/>
      <c r="V12" s="23"/>
      <c r="W12" s="23"/>
      <c r="X12" s="23"/>
      <c r="Y12" s="23"/>
      <c r="Z12" s="23"/>
      <c r="AA12" s="23"/>
      <c r="AB12" s="19"/>
      <c r="AC12" s="43"/>
      <c r="AD12" s="27"/>
    </row>
    <row r="13" spans="2:30" ht="18.75" customHeight="1" x14ac:dyDescent="0.35">
      <c r="B13" s="12"/>
      <c r="C13" s="19"/>
      <c r="D13" s="48"/>
      <c r="E13" s="23"/>
      <c r="F13" s="23"/>
      <c r="G13" s="23"/>
      <c r="H13" s="23"/>
      <c r="I13" s="23"/>
      <c r="J13" s="23"/>
      <c r="K13" s="23"/>
      <c r="L13" s="23"/>
      <c r="M13" s="19"/>
      <c r="N13" s="43"/>
      <c r="O13" s="27"/>
      <c r="Q13" s="12"/>
      <c r="R13" s="19"/>
      <c r="S13" s="48"/>
      <c r="T13" s="23"/>
      <c r="U13" s="23"/>
      <c r="V13" s="23"/>
      <c r="W13" s="23"/>
      <c r="X13" s="23"/>
      <c r="Y13" s="23"/>
      <c r="Z13" s="23"/>
      <c r="AA13" s="23"/>
      <c r="AB13" s="19"/>
      <c r="AC13" s="43"/>
      <c r="AD13" s="27"/>
    </row>
    <row r="14" spans="2:30" ht="18.75" customHeight="1" x14ac:dyDescent="0.35">
      <c r="B14" s="12"/>
      <c r="C14" s="19"/>
      <c r="D14" s="48"/>
      <c r="E14" s="23"/>
      <c r="F14" s="23"/>
      <c r="G14" s="23"/>
      <c r="H14" s="23"/>
      <c r="I14" s="23"/>
      <c r="J14" s="23"/>
      <c r="K14" s="23"/>
      <c r="L14" s="23"/>
      <c r="M14" s="19"/>
      <c r="N14" s="43"/>
      <c r="O14" s="27"/>
      <c r="Q14" s="12"/>
      <c r="R14" s="19"/>
      <c r="S14" s="48"/>
      <c r="T14" s="23"/>
      <c r="U14" s="23"/>
      <c r="V14" s="23"/>
      <c r="W14" s="23"/>
      <c r="X14" s="23"/>
      <c r="Y14" s="23"/>
      <c r="Z14" s="23"/>
      <c r="AA14" s="23"/>
      <c r="AB14" s="19"/>
      <c r="AC14" s="43"/>
      <c r="AD14" s="27"/>
    </row>
    <row r="15" spans="2:30" ht="18.75" customHeight="1" x14ac:dyDescent="0.35">
      <c r="B15" s="12"/>
      <c r="C15" s="19"/>
      <c r="D15" s="48"/>
      <c r="E15" s="23"/>
      <c r="F15" s="23"/>
      <c r="G15" s="23"/>
      <c r="H15" s="23"/>
      <c r="I15" s="23"/>
      <c r="J15" s="23"/>
      <c r="K15" s="23"/>
      <c r="L15" s="23"/>
      <c r="M15" s="19"/>
      <c r="N15" s="43"/>
      <c r="O15" s="27"/>
      <c r="Q15" s="12"/>
      <c r="R15" s="19"/>
      <c r="S15" s="48"/>
      <c r="T15" s="23"/>
      <c r="U15" s="23"/>
      <c r="V15" s="23"/>
      <c r="W15" s="23"/>
      <c r="X15" s="23"/>
      <c r="Y15" s="23"/>
      <c r="Z15" s="23"/>
      <c r="AA15" s="23"/>
      <c r="AB15" s="19"/>
      <c r="AC15" s="43"/>
      <c r="AD15" s="27"/>
    </row>
    <row r="16" spans="2:30" ht="18.75" customHeight="1" x14ac:dyDescent="0.35">
      <c r="B16" s="12"/>
      <c r="C16" s="19"/>
      <c r="D16" s="48"/>
      <c r="E16" s="23"/>
      <c r="F16" s="23"/>
      <c r="G16" s="23"/>
      <c r="H16" s="23"/>
      <c r="I16" s="23"/>
      <c r="J16" s="23"/>
      <c r="K16" s="23"/>
      <c r="L16" s="23"/>
      <c r="M16" s="19"/>
      <c r="N16" s="43"/>
      <c r="O16" s="27"/>
      <c r="Q16" s="12"/>
      <c r="R16" s="19"/>
      <c r="S16" s="48"/>
      <c r="T16" s="23"/>
      <c r="U16" s="23"/>
      <c r="V16" s="23"/>
      <c r="W16" s="23"/>
      <c r="X16" s="23"/>
      <c r="Y16" s="23"/>
      <c r="Z16" s="23"/>
      <c r="AA16" s="23"/>
      <c r="AB16" s="19"/>
      <c r="AC16" s="43"/>
      <c r="AD16" s="27"/>
    </row>
    <row r="17" spans="2:30" ht="18.75" customHeight="1" x14ac:dyDescent="0.35">
      <c r="B17" s="12"/>
      <c r="C17" s="19"/>
      <c r="D17" s="48"/>
      <c r="E17" s="23"/>
      <c r="F17" s="23"/>
      <c r="G17" s="23"/>
      <c r="H17" s="23"/>
      <c r="I17" s="23"/>
      <c r="J17" s="23"/>
      <c r="K17" s="23"/>
      <c r="L17" s="23"/>
      <c r="M17" s="19"/>
      <c r="N17" s="43"/>
      <c r="O17" s="27"/>
      <c r="Q17" s="12"/>
      <c r="R17" s="19"/>
      <c r="S17" s="48"/>
      <c r="T17" s="23"/>
      <c r="U17" s="23"/>
      <c r="V17" s="23"/>
      <c r="W17" s="23"/>
      <c r="X17" s="23"/>
      <c r="Y17" s="23"/>
      <c r="Z17" s="23"/>
      <c r="AA17" s="23"/>
      <c r="AB17" s="19"/>
      <c r="AC17" s="43"/>
      <c r="AD17" s="27"/>
    </row>
    <row r="18" spans="2:30" ht="18.75" customHeight="1" x14ac:dyDescent="0.35">
      <c r="B18" s="33" t="s">
        <v>44</v>
      </c>
      <c r="C18" s="50"/>
      <c r="D18" s="47"/>
      <c r="E18" s="34"/>
      <c r="F18" s="34"/>
      <c r="G18" s="34"/>
      <c r="H18" s="34"/>
      <c r="I18" s="34"/>
      <c r="J18" s="34"/>
      <c r="K18" s="34"/>
      <c r="L18" s="34"/>
      <c r="M18" s="50"/>
      <c r="N18" s="44"/>
      <c r="O18" s="38"/>
      <c r="Q18" s="33" t="s">
        <v>44</v>
      </c>
      <c r="R18" s="50"/>
      <c r="S18" s="47"/>
      <c r="T18" s="34"/>
      <c r="U18" s="34"/>
      <c r="V18" s="34"/>
      <c r="W18" s="34"/>
      <c r="X18" s="34"/>
      <c r="Y18" s="34"/>
      <c r="Z18" s="34"/>
      <c r="AA18" s="34"/>
      <c r="AB18" s="50"/>
      <c r="AC18" s="44"/>
      <c r="AD18" s="38"/>
    </row>
    <row r="19" spans="2:30" ht="18.75" customHeight="1" x14ac:dyDescent="0.35">
      <c r="B19" s="120" t="s">
        <v>89</v>
      </c>
      <c r="C19" s="121"/>
      <c r="D19" s="89"/>
      <c r="E19" s="90"/>
      <c r="F19" s="91"/>
      <c r="G19" s="90"/>
      <c r="H19" s="91"/>
      <c r="I19" s="90"/>
      <c r="J19" s="91"/>
      <c r="K19" s="90"/>
      <c r="L19" s="91"/>
      <c r="M19" s="90"/>
      <c r="N19" s="89"/>
      <c r="O19" s="92"/>
      <c r="Q19" s="120" t="s">
        <v>89</v>
      </c>
      <c r="R19" s="121"/>
      <c r="S19" s="89"/>
      <c r="T19" s="90"/>
      <c r="U19" s="91"/>
      <c r="V19" s="90"/>
      <c r="W19" s="91"/>
      <c r="X19" s="90"/>
      <c r="Y19" s="91"/>
      <c r="Z19" s="90"/>
      <c r="AA19" s="91"/>
      <c r="AB19" s="90"/>
      <c r="AC19" s="89"/>
      <c r="AD19" s="92"/>
    </row>
    <row r="20" spans="2:30" ht="44.25" customHeight="1" x14ac:dyDescent="0.35">
      <c r="B20" s="100" t="s">
        <v>66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Q20" s="100" t="s">
        <v>66</v>
      </c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</row>
    <row r="21" spans="2:30" ht="18.75" customHeight="1" x14ac:dyDescent="0.35"/>
    <row r="22" spans="2:30" ht="18.75" customHeight="1" x14ac:dyDescent="0.35"/>
    <row r="23" spans="2:30" x14ac:dyDescent="0.35">
      <c r="B23" s="98" t="s">
        <v>95</v>
      </c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Q23" s="98" t="s">
        <v>96</v>
      </c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</row>
    <row r="25" spans="2:30" ht="33.75" customHeight="1" x14ac:dyDescent="0.35">
      <c r="B25" s="101" t="s">
        <v>114</v>
      </c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Q25" s="101" t="s">
        <v>115</v>
      </c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</row>
    <row r="26" spans="2:30" ht="15" customHeight="1" x14ac:dyDescent="0.35">
      <c r="B26" s="13"/>
      <c r="C26" s="51"/>
      <c r="D26" s="104" t="s">
        <v>86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Q26" s="13"/>
      <c r="R26" s="51"/>
      <c r="S26" s="105" t="s">
        <v>86</v>
      </c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</row>
    <row r="27" spans="2:30" ht="30" customHeight="1" x14ac:dyDescent="0.35">
      <c r="B27" s="106" t="s">
        <v>0</v>
      </c>
      <c r="C27" s="108" t="s">
        <v>2</v>
      </c>
      <c r="D27" s="110" t="s">
        <v>77</v>
      </c>
      <c r="E27" s="111"/>
      <c r="F27" s="112" t="s">
        <v>70</v>
      </c>
      <c r="G27" s="111"/>
      <c r="H27" s="112" t="s">
        <v>54</v>
      </c>
      <c r="I27" s="111"/>
      <c r="J27" s="112" t="s">
        <v>71</v>
      </c>
      <c r="K27" s="111"/>
      <c r="L27" s="112" t="s">
        <v>55</v>
      </c>
      <c r="M27" s="113"/>
      <c r="N27" s="110" t="s">
        <v>58</v>
      </c>
      <c r="O27" s="113"/>
      <c r="Q27" s="106" t="s">
        <v>0</v>
      </c>
      <c r="R27" s="114" t="s">
        <v>2</v>
      </c>
      <c r="S27" s="116" t="s">
        <v>77</v>
      </c>
      <c r="T27" s="117"/>
      <c r="U27" s="118" t="s">
        <v>70</v>
      </c>
      <c r="V27" s="117"/>
      <c r="W27" s="118" t="s">
        <v>54</v>
      </c>
      <c r="X27" s="117"/>
      <c r="Y27" s="118" t="s">
        <v>71</v>
      </c>
      <c r="Z27" s="117"/>
      <c r="AA27" s="118" t="s">
        <v>55</v>
      </c>
      <c r="AB27" s="119"/>
      <c r="AC27" s="116" t="s">
        <v>58</v>
      </c>
      <c r="AD27" s="119"/>
    </row>
    <row r="28" spans="2:30" x14ac:dyDescent="0.35">
      <c r="B28" s="107"/>
      <c r="C28" s="109"/>
      <c r="D28" s="81" t="s">
        <v>56</v>
      </c>
      <c r="E28" s="82" t="s">
        <v>57</v>
      </c>
      <c r="F28" s="77" t="s">
        <v>56</v>
      </c>
      <c r="G28" s="77" t="s">
        <v>57</v>
      </c>
      <c r="H28" s="77" t="s">
        <v>56</v>
      </c>
      <c r="I28" s="77" t="s">
        <v>57</v>
      </c>
      <c r="J28" s="77" t="s">
        <v>56</v>
      </c>
      <c r="K28" s="77" t="s">
        <v>57</v>
      </c>
      <c r="L28" s="77" t="s">
        <v>56</v>
      </c>
      <c r="M28" s="77" t="s">
        <v>57</v>
      </c>
      <c r="N28" s="81" t="s">
        <v>56</v>
      </c>
      <c r="O28" s="77" t="s">
        <v>57</v>
      </c>
      <c r="Q28" s="107"/>
      <c r="R28" s="115"/>
      <c r="S28" s="94" t="s">
        <v>56</v>
      </c>
      <c r="T28" s="95" t="s">
        <v>57</v>
      </c>
      <c r="U28" s="88" t="s">
        <v>56</v>
      </c>
      <c r="V28" s="88" t="s">
        <v>57</v>
      </c>
      <c r="W28" s="88" t="s">
        <v>56</v>
      </c>
      <c r="X28" s="88" t="s">
        <v>57</v>
      </c>
      <c r="Y28" s="88" t="s">
        <v>56</v>
      </c>
      <c r="Z28" s="88" t="s">
        <v>57</v>
      </c>
      <c r="AA28" s="88" t="s">
        <v>56</v>
      </c>
      <c r="AB28" s="88" t="s">
        <v>57</v>
      </c>
      <c r="AC28" s="94" t="s">
        <v>56</v>
      </c>
      <c r="AD28" s="88" t="s">
        <v>57</v>
      </c>
    </row>
    <row r="29" spans="2:30" ht="18.75" customHeight="1" x14ac:dyDescent="0.35">
      <c r="B29" s="12" t="s">
        <v>3</v>
      </c>
      <c r="C29" s="19">
        <v>100</v>
      </c>
      <c r="D29" s="48">
        <v>4</v>
      </c>
      <c r="E29" s="41">
        <f>D29/$C29</f>
        <v>0.04</v>
      </c>
      <c r="F29" s="23">
        <v>3</v>
      </c>
      <c r="G29" s="41">
        <f>F29/$C29</f>
        <v>0.03</v>
      </c>
      <c r="H29" s="23">
        <v>2</v>
      </c>
      <c r="I29" s="41">
        <f>H29/$C29</f>
        <v>0.02</v>
      </c>
      <c r="J29" s="23">
        <v>0</v>
      </c>
      <c r="K29" s="41">
        <f>J29/$C29</f>
        <v>0</v>
      </c>
      <c r="L29" s="23">
        <v>1</v>
      </c>
      <c r="M29" s="45">
        <f>L29/$C29</f>
        <v>0.01</v>
      </c>
      <c r="N29" s="48">
        <f>D29+F29+H29+J29+L29</f>
        <v>10</v>
      </c>
      <c r="O29" s="49">
        <f>N29/$C29</f>
        <v>0.1</v>
      </c>
      <c r="Q29" s="12" t="s">
        <v>3</v>
      </c>
      <c r="R29" s="19">
        <v>200</v>
      </c>
      <c r="S29" s="48">
        <v>7</v>
      </c>
      <c r="T29" s="41">
        <f>S29/$R29</f>
        <v>3.5000000000000003E-2</v>
      </c>
      <c r="U29" s="23">
        <v>5</v>
      </c>
      <c r="V29" s="41">
        <f>U29/$R29</f>
        <v>2.5000000000000001E-2</v>
      </c>
      <c r="W29" s="23">
        <v>8</v>
      </c>
      <c r="X29" s="41">
        <f>W29/$R29</f>
        <v>0.04</v>
      </c>
      <c r="Y29" s="23">
        <v>0</v>
      </c>
      <c r="Z29" s="41">
        <f>Y29/$R29</f>
        <v>0</v>
      </c>
      <c r="AA29" s="23">
        <v>2</v>
      </c>
      <c r="AB29" s="45">
        <f>AA29/$R29</f>
        <v>0.01</v>
      </c>
      <c r="AC29" s="48">
        <f>S29+U29+W29+Y29+AA29</f>
        <v>22</v>
      </c>
      <c r="AD29" s="49">
        <f>AC29/$R29</f>
        <v>0.11</v>
      </c>
    </row>
    <row r="30" spans="2:30" ht="18.75" customHeight="1" x14ac:dyDescent="0.35">
      <c r="B30" s="12" t="s">
        <v>4</v>
      </c>
      <c r="C30" s="19">
        <v>140</v>
      </c>
      <c r="D30" s="48">
        <v>3</v>
      </c>
      <c r="E30" s="41">
        <f t="shared" ref="E30:G36" si="0">D30/$C30</f>
        <v>2.1428571428571429E-2</v>
      </c>
      <c r="F30" s="23">
        <v>0</v>
      </c>
      <c r="G30" s="41">
        <f t="shared" si="0"/>
        <v>0</v>
      </c>
      <c r="H30" s="23">
        <v>4</v>
      </c>
      <c r="I30" s="41">
        <f t="shared" ref="I30:I36" si="1">H30/$C30</f>
        <v>2.8571428571428571E-2</v>
      </c>
      <c r="J30" s="23">
        <v>0</v>
      </c>
      <c r="K30" s="41">
        <f t="shared" ref="K30:K36" si="2">J30/$C30</f>
        <v>0</v>
      </c>
      <c r="L30" s="23">
        <v>0</v>
      </c>
      <c r="M30" s="45">
        <f t="shared" ref="M30:M36" si="3">L30/$C30</f>
        <v>0</v>
      </c>
      <c r="N30" s="48">
        <f t="shared" ref="N30:N35" si="4">D30+F30+H30+J30+L30</f>
        <v>7</v>
      </c>
      <c r="O30" s="45">
        <f t="shared" ref="O30:O36" si="5">N30/$C30</f>
        <v>0.05</v>
      </c>
      <c r="Q30" s="12" t="s">
        <v>4</v>
      </c>
      <c r="R30" s="19">
        <v>280</v>
      </c>
      <c r="S30" s="48">
        <v>6</v>
      </c>
      <c r="T30" s="41">
        <f t="shared" ref="T30:T35" si="6">S30/$R30</f>
        <v>2.1428571428571429E-2</v>
      </c>
      <c r="U30" s="23">
        <v>0</v>
      </c>
      <c r="V30" s="41">
        <f t="shared" ref="V30" si="7">U30/$R30</f>
        <v>0</v>
      </c>
      <c r="W30" s="23">
        <v>7</v>
      </c>
      <c r="X30" s="41">
        <f t="shared" ref="X30" si="8">W30/$R30</f>
        <v>2.5000000000000001E-2</v>
      </c>
      <c r="Y30" s="23">
        <v>0</v>
      </c>
      <c r="Z30" s="41">
        <f t="shared" ref="Z30" si="9">Y30/$R30</f>
        <v>0</v>
      </c>
      <c r="AA30" s="23">
        <v>0</v>
      </c>
      <c r="AB30" s="45">
        <f t="shared" ref="AB30" si="10">AA30/$R30</f>
        <v>0</v>
      </c>
      <c r="AC30" s="48">
        <f t="shared" ref="AC30:AC35" si="11">S30+U30+W30+Y30+AA30</f>
        <v>13</v>
      </c>
      <c r="AD30" s="45">
        <f t="shared" ref="AD30" si="12">AC30/$R30</f>
        <v>4.642857142857143E-2</v>
      </c>
    </row>
    <row r="31" spans="2:30" ht="18.75" customHeight="1" x14ac:dyDescent="0.35">
      <c r="B31" s="12" t="s">
        <v>49</v>
      </c>
      <c r="C31" s="19">
        <v>120</v>
      </c>
      <c r="D31" s="48">
        <v>0</v>
      </c>
      <c r="E31" s="41">
        <f t="shared" si="0"/>
        <v>0</v>
      </c>
      <c r="F31" s="23">
        <v>0</v>
      </c>
      <c r="G31" s="41">
        <f t="shared" si="0"/>
        <v>0</v>
      </c>
      <c r="H31" s="23">
        <v>1</v>
      </c>
      <c r="I31" s="41">
        <f t="shared" si="1"/>
        <v>8.3333333333333332E-3</v>
      </c>
      <c r="J31" s="23">
        <v>0</v>
      </c>
      <c r="K31" s="41">
        <f t="shared" si="2"/>
        <v>0</v>
      </c>
      <c r="L31" s="23">
        <v>0</v>
      </c>
      <c r="M31" s="45">
        <f t="shared" si="3"/>
        <v>0</v>
      </c>
      <c r="N31" s="48">
        <f t="shared" si="4"/>
        <v>1</v>
      </c>
      <c r="O31" s="45">
        <f t="shared" si="5"/>
        <v>8.3333333333333332E-3</v>
      </c>
      <c r="Q31" s="12" t="s">
        <v>49</v>
      </c>
      <c r="R31" s="19">
        <v>240</v>
      </c>
      <c r="S31" s="48">
        <v>1</v>
      </c>
      <c r="T31" s="41">
        <f t="shared" si="6"/>
        <v>4.1666666666666666E-3</v>
      </c>
      <c r="U31" s="23">
        <v>0</v>
      </c>
      <c r="V31" s="41">
        <f t="shared" ref="V31" si="13">U31/$R31</f>
        <v>0</v>
      </c>
      <c r="W31" s="23">
        <v>2</v>
      </c>
      <c r="X31" s="41">
        <f t="shared" ref="X31" si="14">W31/$R31</f>
        <v>8.3333333333333332E-3</v>
      </c>
      <c r="Y31" s="23">
        <v>1</v>
      </c>
      <c r="Z31" s="41">
        <f t="shared" ref="Z31" si="15">Y31/$R31</f>
        <v>4.1666666666666666E-3</v>
      </c>
      <c r="AA31" s="23">
        <v>0</v>
      </c>
      <c r="AB31" s="45">
        <f t="shared" ref="AB31" si="16">AA31/$R31</f>
        <v>0</v>
      </c>
      <c r="AC31" s="48">
        <f t="shared" si="11"/>
        <v>4</v>
      </c>
      <c r="AD31" s="45">
        <f t="shared" ref="AD31" si="17">AC31/$R31</f>
        <v>1.6666666666666666E-2</v>
      </c>
    </row>
    <row r="32" spans="2:30" ht="18.75" customHeight="1" x14ac:dyDescent="0.35">
      <c r="B32" s="12" t="s">
        <v>50</v>
      </c>
      <c r="C32" s="19">
        <v>130</v>
      </c>
      <c r="D32" s="48">
        <v>0</v>
      </c>
      <c r="E32" s="41">
        <f t="shared" si="0"/>
        <v>0</v>
      </c>
      <c r="F32" s="23">
        <v>2</v>
      </c>
      <c r="G32" s="41">
        <f t="shared" si="0"/>
        <v>1.5384615384615385E-2</v>
      </c>
      <c r="H32" s="23">
        <v>0</v>
      </c>
      <c r="I32" s="41">
        <f t="shared" si="1"/>
        <v>0</v>
      </c>
      <c r="J32" s="23">
        <v>0</v>
      </c>
      <c r="K32" s="41">
        <f t="shared" si="2"/>
        <v>0</v>
      </c>
      <c r="L32" s="23">
        <v>0</v>
      </c>
      <c r="M32" s="45">
        <f t="shared" si="3"/>
        <v>0</v>
      </c>
      <c r="N32" s="48">
        <f t="shared" si="4"/>
        <v>2</v>
      </c>
      <c r="O32" s="45">
        <f t="shared" si="5"/>
        <v>1.5384615384615385E-2</v>
      </c>
      <c r="Q32" s="12" t="s">
        <v>50</v>
      </c>
      <c r="R32" s="19">
        <v>260</v>
      </c>
      <c r="S32" s="48">
        <v>0</v>
      </c>
      <c r="T32" s="41">
        <f t="shared" si="6"/>
        <v>0</v>
      </c>
      <c r="U32" s="23">
        <v>3</v>
      </c>
      <c r="V32" s="41">
        <f t="shared" ref="V32" si="18">U32/$R32</f>
        <v>1.1538461538461539E-2</v>
      </c>
      <c r="W32" s="23">
        <v>0</v>
      </c>
      <c r="X32" s="41">
        <f t="shared" ref="X32" si="19">W32/$R32</f>
        <v>0</v>
      </c>
      <c r="Y32" s="23">
        <v>0</v>
      </c>
      <c r="Z32" s="41">
        <f t="shared" ref="Z32" si="20">Y32/$R32</f>
        <v>0</v>
      </c>
      <c r="AA32" s="23">
        <v>0</v>
      </c>
      <c r="AB32" s="45">
        <f t="shared" ref="AB32" si="21">AA32/$R32</f>
        <v>0</v>
      </c>
      <c r="AC32" s="48">
        <f t="shared" si="11"/>
        <v>3</v>
      </c>
      <c r="AD32" s="45">
        <f t="shared" ref="AD32" si="22">AC32/$R32</f>
        <v>1.1538461538461539E-2</v>
      </c>
    </row>
    <row r="33" spans="2:30" ht="18.75" customHeight="1" x14ac:dyDescent="0.35">
      <c r="B33" s="12" t="s">
        <v>51</v>
      </c>
      <c r="C33" s="19">
        <v>90</v>
      </c>
      <c r="D33" s="48">
        <v>2</v>
      </c>
      <c r="E33" s="41">
        <f t="shared" si="0"/>
        <v>2.2222222222222223E-2</v>
      </c>
      <c r="F33" s="23">
        <v>0</v>
      </c>
      <c r="G33" s="41">
        <f t="shared" si="0"/>
        <v>0</v>
      </c>
      <c r="H33" s="23">
        <v>4</v>
      </c>
      <c r="I33" s="41">
        <f t="shared" si="1"/>
        <v>4.4444444444444446E-2</v>
      </c>
      <c r="J33" s="23">
        <v>1</v>
      </c>
      <c r="K33" s="41">
        <f t="shared" si="2"/>
        <v>1.1111111111111112E-2</v>
      </c>
      <c r="L33" s="23">
        <v>0</v>
      </c>
      <c r="M33" s="45">
        <f t="shared" si="3"/>
        <v>0</v>
      </c>
      <c r="N33" s="48">
        <f t="shared" si="4"/>
        <v>7</v>
      </c>
      <c r="O33" s="45">
        <f t="shared" si="5"/>
        <v>7.7777777777777779E-2</v>
      </c>
      <c r="Q33" s="12" t="s">
        <v>51</v>
      </c>
      <c r="R33" s="19">
        <v>180</v>
      </c>
      <c r="S33" s="48">
        <v>4</v>
      </c>
      <c r="T33" s="41">
        <f t="shared" si="6"/>
        <v>2.2222222222222223E-2</v>
      </c>
      <c r="U33" s="23">
        <v>1</v>
      </c>
      <c r="V33" s="41">
        <f t="shared" ref="V33" si="23">U33/$R33</f>
        <v>5.5555555555555558E-3</v>
      </c>
      <c r="W33" s="23">
        <v>8</v>
      </c>
      <c r="X33" s="41">
        <f t="shared" ref="X33" si="24">W33/$R33</f>
        <v>4.4444444444444446E-2</v>
      </c>
      <c r="Y33" s="23">
        <v>1</v>
      </c>
      <c r="Z33" s="41">
        <f t="shared" ref="Z33" si="25">Y33/$R33</f>
        <v>5.5555555555555558E-3</v>
      </c>
      <c r="AA33" s="23">
        <v>0</v>
      </c>
      <c r="AB33" s="45">
        <f t="shared" ref="AB33" si="26">AA33/$R33</f>
        <v>0</v>
      </c>
      <c r="AC33" s="48">
        <f t="shared" si="11"/>
        <v>14</v>
      </c>
      <c r="AD33" s="45">
        <f t="shared" ref="AD33" si="27">AC33/$R33</f>
        <v>7.7777777777777779E-2</v>
      </c>
    </row>
    <row r="34" spans="2:30" ht="18.75" customHeight="1" x14ac:dyDescent="0.35">
      <c r="B34" s="12" t="s">
        <v>52</v>
      </c>
      <c r="C34" s="19">
        <v>110</v>
      </c>
      <c r="D34" s="48">
        <v>0</v>
      </c>
      <c r="E34" s="41">
        <f t="shared" si="0"/>
        <v>0</v>
      </c>
      <c r="F34" s="23">
        <v>3</v>
      </c>
      <c r="G34" s="41">
        <f t="shared" si="0"/>
        <v>2.7272727272727271E-2</v>
      </c>
      <c r="H34" s="23">
        <v>3</v>
      </c>
      <c r="I34" s="41">
        <f t="shared" si="1"/>
        <v>2.7272727272727271E-2</v>
      </c>
      <c r="J34" s="23">
        <v>0</v>
      </c>
      <c r="K34" s="41">
        <f t="shared" si="2"/>
        <v>0</v>
      </c>
      <c r="L34" s="23">
        <v>1</v>
      </c>
      <c r="M34" s="45">
        <f t="shared" si="3"/>
        <v>9.0909090909090905E-3</v>
      </c>
      <c r="N34" s="48">
        <f t="shared" si="4"/>
        <v>7</v>
      </c>
      <c r="O34" s="45">
        <f t="shared" si="5"/>
        <v>6.363636363636363E-2</v>
      </c>
      <c r="Q34" s="12" t="s">
        <v>52</v>
      </c>
      <c r="R34" s="19">
        <v>220</v>
      </c>
      <c r="S34" s="48">
        <v>1</v>
      </c>
      <c r="T34" s="41">
        <f t="shared" si="6"/>
        <v>4.5454545454545452E-3</v>
      </c>
      <c r="U34" s="23">
        <v>3</v>
      </c>
      <c r="V34" s="41">
        <f t="shared" ref="V34" si="28">U34/$R34</f>
        <v>1.3636363636363636E-2</v>
      </c>
      <c r="W34" s="23">
        <v>2</v>
      </c>
      <c r="X34" s="41">
        <f t="shared" ref="X34" si="29">W34/$R34</f>
        <v>9.0909090909090905E-3</v>
      </c>
      <c r="Y34" s="23">
        <v>0</v>
      </c>
      <c r="Z34" s="41">
        <f t="shared" ref="Z34" si="30">Y34/$R34</f>
        <v>0</v>
      </c>
      <c r="AA34" s="23">
        <v>1</v>
      </c>
      <c r="AB34" s="45">
        <f t="shared" ref="AB34" si="31">AA34/$R34</f>
        <v>4.5454545454545452E-3</v>
      </c>
      <c r="AC34" s="48">
        <f t="shared" si="11"/>
        <v>7</v>
      </c>
      <c r="AD34" s="45">
        <f t="shared" ref="AD34" si="32">AC34/$R34</f>
        <v>3.1818181818181815E-2</v>
      </c>
    </row>
    <row r="35" spans="2:30" ht="18.75" customHeight="1" x14ac:dyDescent="0.35">
      <c r="B35" s="12" t="s">
        <v>53</v>
      </c>
      <c r="C35" s="19">
        <v>140</v>
      </c>
      <c r="D35" s="48">
        <v>1</v>
      </c>
      <c r="E35" s="41">
        <f t="shared" si="0"/>
        <v>7.1428571428571426E-3</v>
      </c>
      <c r="F35" s="23">
        <v>0</v>
      </c>
      <c r="G35" s="41">
        <f t="shared" si="0"/>
        <v>0</v>
      </c>
      <c r="H35" s="23">
        <v>1</v>
      </c>
      <c r="I35" s="41">
        <f t="shared" si="1"/>
        <v>7.1428571428571426E-3</v>
      </c>
      <c r="J35" s="23">
        <v>2</v>
      </c>
      <c r="K35" s="41">
        <f t="shared" si="2"/>
        <v>1.4285714285714285E-2</v>
      </c>
      <c r="L35" s="23">
        <v>0</v>
      </c>
      <c r="M35" s="45">
        <f t="shared" si="3"/>
        <v>0</v>
      </c>
      <c r="N35" s="48">
        <f t="shared" si="4"/>
        <v>4</v>
      </c>
      <c r="O35" s="45">
        <f t="shared" si="5"/>
        <v>2.8571428571428571E-2</v>
      </c>
      <c r="Q35" s="12" t="s">
        <v>53</v>
      </c>
      <c r="R35" s="19">
        <v>280</v>
      </c>
      <c r="S35" s="48">
        <v>2</v>
      </c>
      <c r="T35" s="41">
        <f t="shared" si="6"/>
        <v>7.1428571428571426E-3</v>
      </c>
      <c r="U35" s="23">
        <v>0</v>
      </c>
      <c r="V35" s="41">
        <f t="shared" ref="V35" si="33">U35/$R35</f>
        <v>0</v>
      </c>
      <c r="W35" s="23">
        <v>1</v>
      </c>
      <c r="X35" s="41">
        <f t="shared" ref="X35" si="34">W35/$R35</f>
        <v>3.5714285714285713E-3</v>
      </c>
      <c r="Y35" s="23">
        <v>2</v>
      </c>
      <c r="Z35" s="41">
        <f t="shared" ref="Z35" si="35">Y35/$R35</f>
        <v>7.1428571428571426E-3</v>
      </c>
      <c r="AA35" s="23">
        <v>0</v>
      </c>
      <c r="AB35" s="45">
        <f t="shared" ref="AB35" si="36">AA35/$R35</f>
        <v>0</v>
      </c>
      <c r="AC35" s="48">
        <f t="shared" si="11"/>
        <v>5</v>
      </c>
      <c r="AD35" s="45">
        <f t="shared" ref="AD35" si="37">AC35/$R35</f>
        <v>1.7857142857142856E-2</v>
      </c>
    </row>
    <row r="36" spans="2:30" ht="18.75" customHeight="1" x14ac:dyDescent="0.35">
      <c r="B36" s="33" t="s">
        <v>44</v>
      </c>
      <c r="C36" s="50">
        <f>SUM(C29:C35)</f>
        <v>830</v>
      </c>
      <c r="D36" s="47">
        <f>SUM(D29:D35)</f>
        <v>10</v>
      </c>
      <c r="E36" s="42">
        <f>D36/$C36</f>
        <v>1.2048192771084338E-2</v>
      </c>
      <c r="F36" s="34">
        <f>SUM(F29:F35)</f>
        <v>8</v>
      </c>
      <c r="G36" s="42">
        <f t="shared" si="0"/>
        <v>9.6385542168674707E-3</v>
      </c>
      <c r="H36" s="34">
        <f>SUM(H29:H35)</f>
        <v>15</v>
      </c>
      <c r="I36" s="42">
        <f t="shared" si="1"/>
        <v>1.8072289156626505E-2</v>
      </c>
      <c r="J36" s="34">
        <f>SUM(J29:J35)</f>
        <v>3</v>
      </c>
      <c r="K36" s="42">
        <f t="shared" si="2"/>
        <v>3.6144578313253013E-3</v>
      </c>
      <c r="L36" s="34">
        <f>SUM(L29:L35)</f>
        <v>2</v>
      </c>
      <c r="M36" s="46">
        <f t="shared" si="3"/>
        <v>2.4096385542168677E-3</v>
      </c>
      <c r="N36" s="47">
        <f>SUM(N29:N35)</f>
        <v>38</v>
      </c>
      <c r="O36" s="46">
        <f t="shared" si="5"/>
        <v>4.5783132530120479E-2</v>
      </c>
      <c r="Q36" s="33" t="s">
        <v>44</v>
      </c>
      <c r="R36" s="50">
        <f>SUM(R29:R35)</f>
        <v>1660</v>
      </c>
      <c r="S36" s="47">
        <f>SUM(S29:S35)</f>
        <v>21</v>
      </c>
      <c r="T36" s="42">
        <f>S36/$R36</f>
        <v>1.2650602409638554E-2</v>
      </c>
      <c r="U36" s="34">
        <f>SUM(U29:U35)</f>
        <v>12</v>
      </c>
      <c r="V36" s="42">
        <f>U36/$R36</f>
        <v>7.2289156626506026E-3</v>
      </c>
      <c r="W36" s="34">
        <f>SUM(W29:W35)</f>
        <v>28</v>
      </c>
      <c r="X36" s="42">
        <f>W36/$R36</f>
        <v>1.6867469879518072E-2</v>
      </c>
      <c r="Y36" s="34">
        <f>SUM(Y29:Y35)</f>
        <v>4</v>
      </c>
      <c r="Z36" s="42">
        <f>Y36/$R36</f>
        <v>2.4096385542168677E-3</v>
      </c>
      <c r="AA36" s="34">
        <f>SUM(AA29:AA35)</f>
        <v>3</v>
      </c>
      <c r="AB36" s="46">
        <f>AA36/$R36</f>
        <v>1.8072289156626507E-3</v>
      </c>
      <c r="AC36" s="47">
        <f>SUM(AC29:AC35)</f>
        <v>68</v>
      </c>
      <c r="AD36" s="46">
        <f>AC36/$R36</f>
        <v>4.0963855421686748E-2</v>
      </c>
    </row>
    <row r="37" spans="2:30" ht="18.75" customHeight="1" x14ac:dyDescent="0.35">
      <c r="B37" s="120" t="s">
        <v>89</v>
      </c>
      <c r="C37" s="121"/>
      <c r="D37" s="89"/>
      <c r="E37" s="90">
        <f>D36/$N$36</f>
        <v>0.26315789473684209</v>
      </c>
      <c r="F37" s="91"/>
      <c r="G37" s="90">
        <f>F36/$N$36</f>
        <v>0.21052631578947367</v>
      </c>
      <c r="H37" s="91"/>
      <c r="I37" s="90">
        <f>H36/$N$36</f>
        <v>0.39473684210526316</v>
      </c>
      <c r="J37" s="91"/>
      <c r="K37" s="90">
        <f>J36/$N$36</f>
        <v>7.8947368421052627E-2</v>
      </c>
      <c r="L37" s="91"/>
      <c r="M37" s="90">
        <f>L36/$N$36</f>
        <v>5.2631578947368418E-2</v>
      </c>
      <c r="N37" s="89"/>
      <c r="O37" s="92"/>
      <c r="Q37" s="120" t="s">
        <v>89</v>
      </c>
      <c r="R37" s="121"/>
      <c r="S37" s="89"/>
      <c r="T37" s="90">
        <f>S36/$AC$36</f>
        <v>0.30882352941176472</v>
      </c>
      <c r="U37" s="91"/>
      <c r="V37" s="90">
        <f>U36/$AC$36</f>
        <v>0.17647058823529413</v>
      </c>
      <c r="W37" s="91"/>
      <c r="X37" s="90">
        <f>W36/$AC$36</f>
        <v>0.41176470588235292</v>
      </c>
      <c r="Y37" s="91"/>
      <c r="Z37" s="90">
        <f>Y36/$AC$36</f>
        <v>5.8823529411764705E-2</v>
      </c>
      <c r="AA37" s="91"/>
      <c r="AB37" s="90">
        <f>AA36/$AC$36</f>
        <v>4.4117647058823532E-2</v>
      </c>
      <c r="AC37" s="89"/>
      <c r="AD37" s="92"/>
    </row>
    <row r="38" spans="2:30" ht="44.25" customHeight="1" x14ac:dyDescent="0.35">
      <c r="B38" s="100" t="s">
        <v>66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Q38" s="100" t="s">
        <v>66</v>
      </c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</sheetData>
  <mergeCells count="52">
    <mergeCell ref="Q37:R37"/>
    <mergeCell ref="Q38:AD38"/>
    <mergeCell ref="Q25:AD25"/>
    <mergeCell ref="S26:AD26"/>
    <mergeCell ref="Q27:Q28"/>
    <mergeCell ref="R27:R28"/>
    <mergeCell ref="S27:T27"/>
    <mergeCell ref="U27:V27"/>
    <mergeCell ref="W27:X27"/>
    <mergeCell ref="Y27:Z27"/>
    <mergeCell ref="AA27:AB27"/>
    <mergeCell ref="AC27:AD27"/>
    <mergeCell ref="B37:C37"/>
    <mergeCell ref="B19:C19"/>
    <mergeCell ref="Q2:AD2"/>
    <mergeCell ref="Q4:AD4"/>
    <mergeCell ref="S5:AD5"/>
    <mergeCell ref="Q6:Q7"/>
    <mergeCell ref="R6:R7"/>
    <mergeCell ref="S6:T6"/>
    <mergeCell ref="U6:V6"/>
    <mergeCell ref="W6:X6"/>
    <mergeCell ref="Y6:Z6"/>
    <mergeCell ref="AA6:AB6"/>
    <mergeCell ref="AC6:AD6"/>
    <mergeCell ref="Q19:R19"/>
    <mergeCell ref="Q20:AD20"/>
    <mergeCell ref="Q23:AD23"/>
    <mergeCell ref="H27:I27"/>
    <mergeCell ref="B38:O38"/>
    <mergeCell ref="D5:O5"/>
    <mergeCell ref="D26:O26"/>
    <mergeCell ref="J27:K27"/>
    <mergeCell ref="L27:M27"/>
    <mergeCell ref="B20:O20"/>
    <mergeCell ref="B23:O23"/>
    <mergeCell ref="B25:O25"/>
    <mergeCell ref="N27:O27"/>
    <mergeCell ref="B27:B28"/>
    <mergeCell ref="C27:C28"/>
    <mergeCell ref="D27:E27"/>
    <mergeCell ref="F27:G27"/>
    <mergeCell ref="J6:K6"/>
    <mergeCell ref="L6:M6"/>
    <mergeCell ref="B2:O2"/>
    <mergeCell ref="B4:O4"/>
    <mergeCell ref="N6:O6"/>
    <mergeCell ref="B6:B7"/>
    <mergeCell ref="C6:C7"/>
    <mergeCell ref="D6:E6"/>
    <mergeCell ref="F6:G6"/>
    <mergeCell ref="H6:I6"/>
  </mergeCells>
  <pageMargins left="0.7" right="0.7" top="0.75" bottom="0.75" header="0.3" footer="0.3"/>
  <ignoredErrors>
    <ignoredError sqref="E29:N36 T36:AB36 AC29:AC3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75E4-EA73-4762-B74F-1F58062BCA5B}">
  <dimension ref="B2:I26"/>
  <sheetViews>
    <sheetView topLeftCell="A16" zoomScaleNormal="100" workbookViewId="0">
      <selection activeCell="B16" sqref="B16:B18"/>
    </sheetView>
  </sheetViews>
  <sheetFormatPr defaultColWidth="9.1796875" defaultRowHeight="14.5" x14ac:dyDescent="0.35"/>
  <cols>
    <col min="1" max="1" width="9.1796875" style="7"/>
    <col min="2" max="2" width="45.26953125" style="7" bestFit="1" customWidth="1"/>
    <col min="3" max="5" width="11.453125" style="7" customWidth="1"/>
    <col min="6" max="9" width="14.26953125" style="7" customWidth="1"/>
    <col min="10" max="16384" width="9.1796875" style="7"/>
  </cols>
  <sheetData>
    <row r="2" spans="2:9" x14ac:dyDescent="0.35">
      <c r="B2" s="98" t="s">
        <v>87</v>
      </c>
      <c r="C2" s="99"/>
      <c r="D2" s="99"/>
      <c r="E2" s="99"/>
      <c r="F2" s="99"/>
      <c r="G2" s="99"/>
      <c r="H2" s="99"/>
      <c r="I2" s="99"/>
    </row>
    <row r="4" spans="2:9" ht="18.75" customHeight="1" x14ac:dyDescent="0.35">
      <c r="B4" s="101" t="s">
        <v>117</v>
      </c>
      <c r="C4" s="101"/>
      <c r="D4" s="101"/>
      <c r="E4" s="101"/>
      <c r="F4" s="101"/>
      <c r="G4" s="101"/>
      <c r="H4" s="101"/>
      <c r="I4" s="101"/>
    </row>
    <row r="5" spans="2:9" ht="30" customHeight="1" x14ac:dyDescent="0.35">
      <c r="B5" s="106" t="s">
        <v>64</v>
      </c>
      <c r="C5" s="108" t="s">
        <v>2</v>
      </c>
      <c r="D5" s="124" t="s">
        <v>83</v>
      </c>
      <c r="E5" s="125"/>
      <c r="F5" s="128" t="s">
        <v>84</v>
      </c>
      <c r="G5" s="129"/>
      <c r="H5" s="129"/>
      <c r="I5" s="129"/>
    </row>
    <row r="6" spans="2:9" ht="15" customHeight="1" x14ac:dyDescent="0.35">
      <c r="B6" s="122"/>
      <c r="C6" s="123"/>
      <c r="D6" s="126"/>
      <c r="E6" s="127"/>
      <c r="F6" s="112" t="s">
        <v>62</v>
      </c>
      <c r="G6" s="111"/>
      <c r="H6" s="112" t="s">
        <v>63</v>
      </c>
      <c r="I6" s="113"/>
    </row>
    <row r="7" spans="2:9" ht="15" customHeight="1" x14ac:dyDescent="0.35">
      <c r="B7" s="107"/>
      <c r="C7" s="109"/>
      <c r="D7" s="79" t="s">
        <v>56</v>
      </c>
      <c r="E7" s="80" t="s">
        <v>57</v>
      </c>
      <c r="F7" s="80" t="s">
        <v>56</v>
      </c>
      <c r="G7" s="78" t="s">
        <v>57</v>
      </c>
      <c r="H7" s="80" t="s">
        <v>56</v>
      </c>
      <c r="I7" s="78" t="s">
        <v>57</v>
      </c>
    </row>
    <row r="8" spans="2:9" ht="30" customHeight="1" x14ac:dyDescent="0.35">
      <c r="B8" s="53" t="s">
        <v>61</v>
      </c>
      <c r="C8" s="20"/>
      <c r="D8" s="54"/>
      <c r="E8" s="55"/>
      <c r="F8" s="20"/>
      <c r="G8" s="55"/>
      <c r="H8" s="20"/>
      <c r="I8" s="56"/>
    </row>
    <row r="9" spans="2:9" ht="26.25" customHeight="1" x14ac:dyDescent="0.35">
      <c r="B9" s="100" t="s">
        <v>65</v>
      </c>
      <c r="C9" s="100"/>
      <c r="D9" s="100"/>
      <c r="E9" s="100"/>
      <c r="F9" s="100"/>
      <c r="G9" s="100"/>
      <c r="H9" s="100"/>
      <c r="I9" s="100"/>
    </row>
    <row r="10" spans="2:9" ht="18.75" customHeight="1" x14ac:dyDescent="0.35">
      <c r="B10" s="102"/>
      <c r="C10" s="103"/>
      <c r="D10" s="103"/>
      <c r="E10" s="103"/>
      <c r="F10" s="103"/>
      <c r="G10" s="103"/>
      <c r="H10" s="103"/>
      <c r="I10" s="103"/>
    </row>
    <row r="11" spans="2:9" x14ac:dyDescent="0.35">
      <c r="B11" s="40"/>
      <c r="C11" s="39"/>
      <c r="D11" s="39"/>
      <c r="E11" s="39"/>
      <c r="F11" s="39"/>
      <c r="G11" s="39"/>
      <c r="H11" s="39"/>
      <c r="I11" s="39"/>
    </row>
    <row r="12" spans="2:9" ht="26.25" customHeight="1" x14ac:dyDescent="0.35">
      <c r="B12" s="40"/>
      <c r="C12" s="39"/>
      <c r="D12" s="39"/>
      <c r="E12" s="39"/>
      <c r="F12" s="39"/>
      <c r="G12" s="39"/>
      <c r="H12" s="39"/>
      <c r="I12" s="39"/>
    </row>
    <row r="13" spans="2:9" ht="18.75" customHeight="1" x14ac:dyDescent="0.35">
      <c r="B13" s="98" t="s">
        <v>42</v>
      </c>
      <c r="C13" s="99"/>
      <c r="D13" s="99"/>
      <c r="E13" s="99"/>
      <c r="F13" s="99"/>
      <c r="G13" s="99"/>
      <c r="H13" s="99"/>
      <c r="I13" s="99"/>
    </row>
    <row r="14" spans="2:9" ht="18.75" customHeight="1" x14ac:dyDescent="0.35"/>
    <row r="15" spans="2:9" ht="18.75" customHeight="1" x14ac:dyDescent="0.35">
      <c r="B15" s="101" t="s">
        <v>117</v>
      </c>
      <c r="C15" s="101"/>
      <c r="D15" s="101"/>
      <c r="E15" s="101"/>
      <c r="F15" s="101"/>
      <c r="G15" s="101"/>
      <c r="H15" s="101"/>
      <c r="I15" s="101"/>
    </row>
    <row r="16" spans="2:9" ht="30" customHeight="1" x14ac:dyDescent="0.35">
      <c r="B16" s="106" t="s">
        <v>64</v>
      </c>
      <c r="C16" s="108" t="s">
        <v>2</v>
      </c>
      <c r="D16" s="124" t="s">
        <v>83</v>
      </c>
      <c r="E16" s="125"/>
      <c r="F16" s="128" t="s">
        <v>84</v>
      </c>
      <c r="G16" s="129"/>
      <c r="H16" s="129"/>
      <c r="I16" s="129"/>
    </row>
    <row r="17" spans="2:9" ht="15" customHeight="1" x14ac:dyDescent="0.35">
      <c r="B17" s="122"/>
      <c r="C17" s="123"/>
      <c r="D17" s="126"/>
      <c r="E17" s="127"/>
      <c r="F17" s="112" t="s">
        <v>62</v>
      </c>
      <c r="G17" s="111"/>
      <c r="H17" s="112" t="s">
        <v>63</v>
      </c>
      <c r="I17" s="113"/>
    </row>
    <row r="18" spans="2:9" x14ac:dyDescent="0.35">
      <c r="B18" s="107"/>
      <c r="C18" s="109"/>
      <c r="D18" s="79" t="s">
        <v>56</v>
      </c>
      <c r="E18" s="80" t="s">
        <v>57</v>
      </c>
      <c r="F18" s="80" t="s">
        <v>56</v>
      </c>
      <c r="G18" s="78" t="s">
        <v>57</v>
      </c>
      <c r="H18" s="80" t="s">
        <v>56</v>
      </c>
      <c r="I18" s="78" t="s">
        <v>57</v>
      </c>
    </row>
    <row r="19" spans="2:9" ht="30" customHeight="1" x14ac:dyDescent="0.35">
      <c r="B19" s="53" t="s">
        <v>61</v>
      </c>
      <c r="C19" s="20">
        <v>2400</v>
      </c>
      <c r="D19" s="54">
        <v>1562</v>
      </c>
      <c r="E19" s="55">
        <f>D19/$C19</f>
        <v>0.65083333333333337</v>
      </c>
      <c r="F19" s="20">
        <v>720</v>
      </c>
      <c r="G19" s="55">
        <f>F19/$C19</f>
        <v>0.3</v>
      </c>
      <c r="H19" s="20">
        <v>118</v>
      </c>
      <c r="I19" s="56">
        <f>H19/$C19</f>
        <v>4.9166666666666664E-2</v>
      </c>
    </row>
    <row r="20" spans="2:9" ht="26.25" customHeight="1" x14ac:dyDescent="0.35">
      <c r="B20" s="100" t="s">
        <v>65</v>
      </c>
      <c r="C20" s="100"/>
      <c r="D20" s="100"/>
      <c r="E20" s="100"/>
      <c r="F20" s="100"/>
      <c r="G20" s="100"/>
      <c r="H20" s="100"/>
      <c r="I20" s="100"/>
    </row>
    <row r="21" spans="2:9" ht="18.75" customHeight="1" x14ac:dyDescent="0.35"/>
    <row r="22" spans="2:9" ht="30" customHeight="1" x14ac:dyDescent="0.35"/>
    <row r="23" spans="2:9" ht="26.25" customHeight="1" x14ac:dyDescent="0.35"/>
    <row r="24" spans="2:9" ht="18.75" customHeight="1" x14ac:dyDescent="0.35"/>
    <row r="26" spans="2:9" ht="26.25" customHeight="1" x14ac:dyDescent="0.35"/>
  </sheetData>
  <mergeCells count="19">
    <mergeCell ref="B9:I9"/>
    <mergeCell ref="B10:I10"/>
    <mergeCell ref="B13:I13"/>
    <mergeCell ref="B2:I2"/>
    <mergeCell ref="B4:I4"/>
    <mergeCell ref="H6:I6"/>
    <mergeCell ref="B5:B7"/>
    <mergeCell ref="C5:C7"/>
    <mergeCell ref="F5:I5"/>
    <mergeCell ref="D5:E6"/>
    <mergeCell ref="F6:G6"/>
    <mergeCell ref="B15:I15"/>
    <mergeCell ref="B20:I20"/>
    <mergeCell ref="B16:B18"/>
    <mergeCell ref="C16:C18"/>
    <mergeCell ref="D16:E17"/>
    <mergeCell ref="F16:I16"/>
    <mergeCell ref="F17:G17"/>
    <mergeCell ref="H17:I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E712-E0A1-4061-9876-5F458334B984}">
  <dimension ref="B2:K20"/>
  <sheetViews>
    <sheetView zoomScaleNormal="100" workbookViewId="0">
      <selection activeCell="H5" sqref="H5"/>
    </sheetView>
  </sheetViews>
  <sheetFormatPr defaultColWidth="9.1796875" defaultRowHeight="14.5" x14ac:dyDescent="0.35"/>
  <cols>
    <col min="1" max="1" width="9.1796875" style="7"/>
    <col min="2" max="2" width="64.54296875" style="7" bestFit="1" customWidth="1"/>
    <col min="3" max="5" width="11.453125" style="7" customWidth="1"/>
    <col min="6" max="7" width="9.1796875" style="7"/>
    <col min="8" max="8" width="64.7265625" style="7" customWidth="1"/>
    <col min="9" max="11" width="11.453125" style="7" customWidth="1"/>
    <col min="12" max="16384" width="9.1796875" style="7"/>
  </cols>
  <sheetData>
    <row r="2" spans="2:11" x14ac:dyDescent="0.35">
      <c r="B2" s="98" t="s">
        <v>87</v>
      </c>
      <c r="C2" s="99"/>
      <c r="D2" s="99"/>
      <c r="E2" s="99"/>
      <c r="H2" s="98" t="s">
        <v>42</v>
      </c>
      <c r="I2" s="98"/>
      <c r="J2" s="98"/>
      <c r="K2" s="98"/>
    </row>
    <row r="4" spans="2:11" ht="18.75" customHeight="1" x14ac:dyDescent="0.35">
      <c r="B4" s="101" t="s">
        <v>118</v>
      </c>
      <c r="C4" s="101"/>
      <c r="D4" s="101"/>
      <c r="E4" s="101"/>
      <c r="H4" s="101" t="s">
        <v>118</v>
      </c>
      <c r="I4" s="101"/>
      <c r="J4" s="101"/>
      <c r="K4" s="101"/>
    </row>
    <row r="5" spans="2:11" ht="29" x14ac:dyDescent="0.35">
      <c r="B5" s="1"/>
      <c r="C5" s="77" t="s">
        <v>56</v>
      </c>
      <c r="D5" s="77" t="s">
        <v>75</v>
      </c>
      <c r="E5" s="77" t="s">
        <v>76</v>
      </c>
      <c r="H5" s="1"/>
      <c r="I5" s="77" t="s">
        <v>56</v>
      </c>
      <c r="J5" s="77" t="s">
        <v>75</v>
      </c>
      <c r="K5" s="77" t="s">
        <v>76</v>
      </c>
    </row>
    <row r="6" spans="2:11" ht="18.75" customHeight="1" x14ac:dyDescent="0.35">
      <c r="B6" s="29" t="s">
        <v>68</v>
      </c>
      <c r="C6" s="59"/>
      <c r="D6" s="63"/>
      <c r="E6" s="65"/>
      <c r="H6" s="29" t="s">
        <v>68</v>
      </c>
      <c r="I6" s="62">
        <v>2400</v>
      </c>
      <c r="J6" s="63"/>
      <c r="K6" s="64"/>
    </row>
    <row r="7" spans="2:11" ht="30" customHeight="1" x14ac:dyDescent="0.35">
      <c r="B7" s="57" t="s">
        <v>79</v>
      </c>
      <c r="C7" s="5"/>
      <c r="D7" s="9"/>
      <c r="E7" s="68"/>
      <c r="H7" s="57" t="s">
        <v>79</v>
      </c>
      <c r="I7" s="23">
        <v>1562</v>
      </c>
      <c r="J7" s="61">
        <f>I7/I6</f>
        <v>0.65083333333333337</v>
      </c>
      <c r="K7" s="66"/>
    </row>
    <row r="8" spans="2:11" ht="29.5" thickBot="1" x14ac:dyDescent="0.4">
      <c r="B8" s="74" t="s">
        <v>80</v>
      </c>
      <c r="C8" s="83"/>
      <c r="D8" s="84"/>
      <c r="E8" s="69"/>
      <c r="H8" s="74" t="s">
        <v>80</v>
      </c>
      <c r="I8" s="75">
        <v>838</v>
      </c>
      <c r="J8" s="76">
        <f>I8/$I$6</f>
        <v>0.34916666666666668</v>
      </c>
      <c r="K8" s="67"/>
    </row>
    <row r="9" spans="2:11" ht="18.75" customHeight="1" thickBot="1" x14ac:dyDescent="0.4">
      <c r="B9" s="70" t="s">
        <v>81</v>
      </c>
      <c r="C9" s="85"/>
      <c r="D9" s="86"/>
      <c r="E9" s="87"/>
      <c r="H9" s="70" t="s">
        <v>81</v>
      </c>
      <c r="I9" s="71">
        <v>720</v>
      </c>
      <c r="J9" s="72">
        <f t="shared" ref="J9:J18" si="0">I9/$I$6</f>
        <v>0.3</v>
      </c>
      <c r="K9" s="73">
        <f>I9/$I$8</f>
        <v>0.85918854415274459</v>
      </c>
    </row>
    <row r="10" spans="2:11" ht="18.75" customHeight="1" x14ac:dyDescent="0.35">
      <c r="B10" s="58" t="s">
        <v>72</v>
      </c>
      <c r="C10" s="5"/>
      <c r="D10" s="9"/>
      <c r="E10" s="27"/>
      <c r="H10" s="58" t="s">
        <v>72</v>
      </c>
      <c r="I10" s="23">
        <v>305</v>
      </c>
      <c r="J10" s="61">
        <f t="shared" si="0"/>
        <v>0.12708333333333333</v>
      </c>
      <c r="K10" s="45">
        <f>I10/$I$9</f>
        <v>0.4236111111111111</v>
      </c>
    </row>
    <row r="11" spans="2:11" ht="18.75" customHeight="1" x14ac:dyDescent="0.35">
      <c r="B11" s="58" t="s">
        <v>73</v>
      </c>
      <c r="C11" s="5"/>
      <c r="D11" s="9"/>
      <c r="E11" s="27"/>
      <c r="H11" s="58" t="s">
        <v>73</v>
      </c>
      <c r="I11" s="23">
        <v>88</v>
      </c>
      <c r="J11" s="61">
        <f t="shared" si="0"/>
        <v>3.6666666666666667E-2</v>
      </c>
      <c r="K11" s="45">
        <f t="shared" ref="K11:K14" si="1">I11/$I$9</f>
        <v>0.12222222222222222</v>
      </c>
    </row>
    <row r="12" spans="2:11" ht="18.75" customHeight="1" x14ac:dyDescent="0.35">
      <c r="B12" s="58" t="s">
        <v>69</v>
      </c>
      <c r="C12" s="5"/>
      <c r="D12" s="9"/>
      <c r="E12" s="27"/>
      <c r="H12" s="58" t="s">
        <v>69</v>
      </c>
      <c r="I12" s="23">
        <v>262</v>
      </c>
      <c r="J12" s="61">
        <f t="shared" si="0"/>
        <v>0.10916666666666666</v>
      </c>
      <c r="K12" s="45">
        <f t="shared" si="1"/>
        <v>0.36388888888888887</v>
      </c>
    </row>
    <row r="13" spans="2:11" ht="18.75" customHeight="1" x14ac:dyDescent="0.35">
      <c r="B13" s="58" t="s">
        <v>71</v>
      </c>
      <c r="C13" s="5"/>
      <c r="D13" s="9"/>
      <c r="E13" s="27"/>
      <c r="H13" s="58" t="s">
        <v>71</v>
      </c>
      <c r="I13" s="23">
        <v>46</v>
      </c>
      <c r="J13" s="61">
        <f t="shared" si="0"/>
        <v>1.9166666666666665E-2</v>
      </c>
      <c r="K13" s="45">
        <f>I13/$I$9</f>
        <v>6.3888888888888884E-2</v>
      </c>
    </row>
    <row r="14" spans="2:11" ht="18.75" customHeight="1" thickBot="1" x14ac:dyDescent="0.4">
      <c r="B14" s="58" t="s">
        <v>78</v>
      </c>
      <c r="C14" s="5"/>
      <c r="D14" s="9"/>
      <c r="E14" s="27"/>
      <c r="H14" s="58" t="s">
        <v>78</v>
      </c>
      <c r="I14" s="23">
        <v>19</v>
      </c>
      <c r="J14" s="61">
        <f t="shared" si="0"/>
        <v>7.9166666666666673E-3</v>
      </c>
      <c r="K14" s="45">
        <f t="shared" si="1"/>
        <v>2.6388888888888889E-2</v>
      </c>
    </row>
    <row r="15" spans="2:11" ht="18.75" customHeight="1" thickBot="1" x14ac:dyDescent="0.4">
      <c r="B15" s="70" t="s">
        <v>82</v>
      </c>
      <c r="C15" s="85"/>
      <c r="D15" s="86"/>
      <c r="E15" s="87"/>
      <c r="H15" s="70" t="s">
        <v>82</v>
      </c>
      <c r="I15" s="71">
        <v>118</v>
      </c>
      <c r="J15" s="72">
        <f t="shared" si="0"/>
        <v>4.9166666666666664E-2</v>
      </c>
      <c r="K15" s="73">
        <f>I15/$I$8</f>
        <v>0.14081145584725538</v>
      </c>
    </row>
    <row r="16" spans="2:11" ht="18.75" customHeight="1" x14ac:dyDescent="0.35">
      <c r="B16" s="58" t="s">
        <v>74</v>
      </c>
      <c r="C16" s="23"/>
      <c r="D16" s="19"/>
      <c r="E16" s="60"/>
      <c r="H16" s="58" t="s">
        <v>74</v>
      </c>
      <c r="I16" s="23">
        <v>80</v>
      </c>
      <c r="J16" s="61">
        <f t="shared" si="0"/>
        <v>3.3333333333333333E-2</v>
      </c>
      <c r="K16" s="60">
        <f>I16/$I$15</f>
        <v>0.67796610169491522</v>
      </c>
    </row>
    <row r="17" spans="2:11" ht="18.75" customHeight="1" x14ac:dyDescent="0.35">
      <c r="B17" s="58" t="s">
        <v>71</v>
      </c>
      <c r="C17" s="5"/>
      <c r="D17" s="9"/>
      <c r="E17" s="27"/>
      <c r="H17" s="58" t="s">
        <v>71</v>
      </c>
      <c r="I17" s="23">
        <v>22</v>
      </c>
      <c r="J17" s="61">
        <f t="shared" si="0"/>
        <v>9.1666666666666667E-3</v>
      </c>
      <c r="K17" s="45">
        <f t="shared" ref="K17:K18" si="2">I17/$I$15</f>
        <v>0.1864406779661017</v>
      </c>
    </row>
    <row r="18" spans="2:11" ht="18.75" customHeight="1" x14ac:dyDescent="0.35">
      <c r="B18" s="58" t="s">
        <v>78</v>
      </c>
      <c r="C18" s="5"/>
      <c r="D18" s="9"/>
      <c r="E18" s="27"/>
      <c r="H18" s="58" t="s">
        <v>78</v>
      </c>
      <c r="I18" s="23">
        <v>16</v>
      </c>
      <c r="J18" s="61">
        <f t="shared" si="0"/>
        <v>6.6666666666666671E-3</v>
      </c>
      <c r="K18" s="45">
        <f t="shared" si="2"/>
        <v>0.13559322033898305</v>
      </c>
    </row>
    <row r="19" spans="2:11" ht="45" customHeight="1" x14ac:dyDescent="0.35">
      <c r="B19" s="100" t="s">
        <v>67</v>
      </c>
      <c r="C19" s="100"/>
      <c r="D19" s="100"/>
      <c r="E19" s="100"/>
      <c r="H19" s="100" t="s">
        <v>85</v>
      </c>
      <c r="I19" s="100"/>
      <c r="J19" s="100"/>
      <c r="K19" s="100"/>
    </row>
    <row r="20" spans="2:11" ht="18.75" customHeight="1" x14ac:dyDescent="0.35"/>
  </sheetData>
  <mergeCells count="6">
    <mergeCell ref="H2:K2"/>
    <mergeCell ref="H4:K4"/>
    <mergeCell ref="H19:K19"/>
    <mergeCell ref="B19:E19"/>
    <mergeCell ref="B2:E2"/>
    <mergeCell ref="B4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2D0B-5554-4432-8B12-BBF0C6B2ADA8}">
  <dimension ref="B2:H17"/>
  <sheetViews>
    <sheetView tabSelected="1" workbookViewId="0">
      <selection activeCell="K5" sqref="K5"/>
    </sheetView>
  </sheetViews>
  <sheetFormatPr defaultColWidth="9.1796875" defaultRowHeight="14.5" x14ac:dyDescent="0.35"/>
  <cols>
    <col min="1" max="1" width="9.1796875" style="7"/>
    <col min="2" max="2" width="13.453125" style="7" customWidth="1"/>
    <col min="3" max="3" width="17.453125" style="7" customWidth="1"/>
    <col min="4" max="4" width="16.7265625" style="7" customWidth="1"/>
    <col min="5" max="5" width="9.1796875" style="7"/>
    <col min="6" max="6" width="13.453125" style="7" customWidth="1"/>
    <col min="7" max="7" width="17.453125" style="7" customWidth="1"/>
    <col min="8" max="8" width="16.7265625" style="7" customWidth="1"/>
    <col min="9" max="16384" width="9.1796875" style="7"/>
  </cols>
  <sheetData>
    <row r="2" spans="2:8" x14ac:dyDescent="0.35">
      <c r="B2" s="98" t="s">
        <v>87</v>
      </c>
      <c r="C2" s="99"/>
      <c r="D2" s="99"/>
      <c r="F2" s="98" t="s">
        <v>42</v>
      </c>
      <c r="G2" s="99"/>
      <c r="H2" s="99"/>
    </row>
    <row r="4" spans="2:8" ht="45" customHeight="1" x14ac:dyDescent="0.35">
      <c r="B4" s="96" t="s">
        <v>119</v>
      </c>
      <c r="C4" s="96"/>
      <c r="D4" s="96"/>
      <c r="F4" s="96" t="s">
        <v>119</v>
      </c>
      <c r="G4" s="96"/>
      <c r="H4" s="96"/>
    </row>
    <row r="5" spans="2:8" ht="60" customHeight="1" x14ac:dyDescent="0.35">
      <c r="B5" s="1" t="s">
        <v>97</v>
      </c>
      <c r="C5" s="2" t="s">
        <v>90</v>
      </c>
      <c r="D5" s="3" t="s">
        <v>91</v>
      </c>
      <c r="F5" s="1" t="s">
        <v>97</v>
      </c>
      <c r="G5" s="2" t="s">
        <v>90</v>
      </c>
      <c r="H5" s="3" t="s">
        <v>91</v>
      </c>
    </row>
    <row r="6" spans="2:8" ht="18.75" customHeight="1" x14ac:dyDescent="0.35">
      <c r="B6" s="4" t="s">
        <v>6</v>
      </c>
      <c r="C6" s="5">
        <v>5</v>
      </c>
      <c r="D6" s="93"/>
      <c r="F6" s="4" t="s">
        <v>6</v>
      </c>
      <c r="G6" s="5">
        <v>5</v>
      </c>
      <c r="H6" s="93" t="str">
        <f>IF(ISBLANK(G6),"",IF(G6&lt;=3,"Good",IF(G6&lt;=8,"Uncertain","Inadequate")))</f>
        <v>Uncertain</v>
      </c>
    </row>
    <row r="7" spans="2:8" ht="18.75" customHeight="1" x14ac:dyDescent="0.35">
      <c r="B7" s="4" t="s">
        <v>7</v>
      </c>
      <c r="C7" s="5">
        <v>0</v>
      </c>
      <c r="D7" s="93"/>
      <c r="F7" s="4" t="s">
        <v>7</v>
      </c>
      <c r="G7" s="5">
        <v>0</v>
      </c>
      <c r="H7" s="93" t="str">
        <f t="shared" ref="H7:H15" si="0">IF(ISBLANK(G7),"",IF(G7&lt;=3,"Good",IF(G7&lt;=8,"Uncertain","Inadequate")))</f>
        <v>Good</v>
      </c>
    </row>
    <row r="8" spans="2:8" ht="18.75" customHeight="1" x14ac:dyDescent="0.35">
      <c r="B8" s="4" t="s">
        <v>8</v>
      </c>
      <c r="C8" s="5">
        <v>7</v>
      </c>
      <c r="D8" s="93"/>
      <c r="F8" s="4" t="s">
        <v>8</v>
      </c>
      <c r="G8" s="5">
        <v>7</v>
      </c>
      <c r="H8" s="93" t="str">
        <f t="shared" si="0"/>
        <v>Uncertain</v>
      </c>
    </row>
    <row r="9" spans="2:8" ht="18.75" customHeight="1" x14ac:dyDescent="0.35">
      <c r="B9" s="4" t="s">
        <v>9</v>
      </c>
      <c r="C9" s="5">
        <v>2</v>
      </c>
      <c r="D9" s="93"/>
      <c r="F9" s="4" t="s">
        <v>9</v>
      </c>
      <c r="G9" s="5">
        <v>2</v>
      </c>
      <c r="H9" s="93" t="str">
        <f t="shared" si="0"/>
        <v>Good</v>
      </c>
    </row>
    <row r="10" spans="2:8" ht="18.75" customHeight="1" x14ac:dyDescent="0.35">
      <c r="B10" s="4" t="s">
        <v>10</v>
      </c>
      <c r="C10" s="5">
        <v>10</v>
      </c>
      <c r="D10" s="93"/>
      <c r="F10" s="4" t="s">
        <v>10</v>
      </c>
      <c r="G10" s="5">
        <v>10</v>
      </c>
      <c r="H10" s="93" t="str">
        <f t="shared" si="0"/>
        <v>Inadequate</v>
      </c>
    </row>
    <row r="11" spans="2:8" ht="18.75" customHeight="1" x14ac:dyDescent="0.35">
      <c r="B11" s="4" t="s">
        <v>19</v>
      </c>
      <c r="C11" s="5">
        <v>8</v>
      </c>
      <c r="D11" s="93"/>
      <c r="F11" s="4" t="s">
        <v>19</v>
      </c>
      <c r="G11" s="5">
        <v>8</v>
      </c>
      <c r="H11" s="93" t="str">
        <f t="shared" si="0"/>
        <v>Uncertain</v>
      </c>
    </row>
    <row r="12" spans="2:8" ht="18.75" customHeight="1" x14ac:dyDescent="0.35">
      <c r="B12" s="4" t="s">
        <v>20</v>
      </c>
      <c r="C12" s="5">
        <v>0</v>
      </c>
      <c r="D12" s="93"/>
      <c r="F12" s="4" t="s">
        <v>20</v>
      </c>
      <c r="G12" s="5">
        <v>0</v>
      </c>
      <c r="H12" s="93" t="str">
        <f t="shared" si="0"/>
        <v>Good</v>
      </c>
    </row>
    <row r="13" spans="2:8" ht="18.75" customHeight="1" x14ac:dyDescent="0.35">
      <c r="B13" s="4" t="s">
        <v>21</v>
      </c>
      <c r="C13" s="5">
        <v>12</v>
      </c>
      <c r="D13" s="93"/>
      <c r="F13" s="4" t="s">
        <v>21</v>
      </c>
      <c r="G13" s="5">
        <v>12</v>
      </c>
      <c r="H13" s="93" t="str">
        <f t="shared" si="0"/>
        <v>Inadequate</v>
      </c>
    </row>
    <row r="14" spans="2:8" ht="18.75" customHeight="1" x14ac:dyDescent="0.35">
      <c r="B14" s="4" t="s">
        <v>22</v>
      </c>
      <c r="C14" s="5">
        <v>9</v>
      </c>
      <c r="D14" s="93"/>
      <c r="F14" s="4" t="s">
        <v>22</v>
      </c>
      <c r="G14" s="5">
        <v>9</v>
      </c>
      <c r="H14" s="93" t="str">
        <f t="shared" si="0"/>
        <v>Inadequate</v>
      </c>
    </row>
    <row r="15" spans="2:8" ht="18.75" customHeight="1" x14ac:dyDescent="0.35">
      <c r="B15" s="4" t="s">
        <v>23</v>
      </c>
      <c r="C15" s="5">
        <v>4</v>
      </c>
      <c r="D15" s="93"/>
      <c r="F15" s="4" t="s">
        <v>23</v>
      </c>
      <c r="G15" s="5">
        <v>4</v>
      </c>
      <c r="H15" s="93" t="str">
        <f t="shared" si="0"/>
        <v>Uncertain</v>
      </c>
    </row>
    <row r="16" spans="2:8" ht="30" customHeight="1" x14ac:dyDescent="0.35">
      <c r="B16" s="97" t="s">
        <v>92</v>
      </c>
      <c r="C16" s="97"/>
      <c r="D16" s="97"/>
      <c r="F16" s="97" t="s">
        <v>92</v>
      </c>
      <c r="G16" s="97"/>
      <c r="H16" s="97"/>
    </row>
    <row r="17" spans="2:8" ht="75" customHeight="1" x14ac:dyDescent="0.35">
      <c r="B17" s="97" t="s">
        <v>100</v>
      </c>
      <c r="C17" s="97"/>
      <c r="D17" s="97"/>
      <c r="F17" s="97" t="s">
        <v>100</v>
      </c>
      <c r="G17" s="97"/>
      <c r="H17" s="97"/>
    </row>
  </sheetData>
  <mergeCells count="8">
    <mergeCell ref="F4:H4"/>
    <mergeCell ref="F16:H16"/>
    <mergeCell ref="F17:H17"/>
    <mergeCell ref="B2:D2"/>
    <mergeCell ref="F2:H2"/>
    <mergeCell ref="B4:D4"/>
    <mergeCell ref="B16:D16"/>
    <mergeCell ref="B17:D17"/>
  </mergeCells>
  <phoneticPr fontId="2" type="noConversion"/>
  <conditionalFormatting sqref="H6:H15">
    <cfRule type="containsText" dxfId="2" priority="1" operator="containsText" text="Inadequate">
      <formula>NOT(ISERROR(SEARCH("Inadequate",H6)))</formula>
    </cfRule>
    <cfRule type="containsText" dxfId="1" priority="2" operator="containsText" text="Uncertain">
      <formula>NOT(ISERROR(SEARCH("Uncertain",H6)))</formula>
    </cfRule>
    <cfRule type="containsText" dxfId="0" priority="3" operator="containsText" text="Good">
      <formula>NOT(ISERROR(SEARCH("Good",H6)))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3cdae7-58e9-463a-80c4-ff1f1a52caeb" xsi:nil="true"/>
    <lcf76f155ced4ddcb4097134ff3c332f xmlns="7a2ce8f2-2204-4367-a41c-b735e7c03037">
      <Terms xmlns="http://schemas.microsoft.com/office/infopath/2007/PartnerControls"/>
    </lcf76f155ced4ddcb4097134ff3c332f>
    <Person xmlns="7a2ce8f2-2204-4367-a41c-b735e7c03037">
      <UserInfo>
        <DisplayName/>
        <AccountId xsi:nil="true"/>
        <AccountType/>
      </UserInfo>
    </Perso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11AF2F54683D48B47D51E7C5C20D0A" ma:contentTypeVersion="21" ma:contentTypeDescription="Create a new document." ma:contentTypeScope="" ma:versionID="6c3ec6b3112fff6afcb2e1bceac7318f">
  <xsd:schema xmlns:xsd="http://www.w3.org/2001/XMLSchema" xmlns:xs="http://www.w3.org/2001/XMLSchema" xmlns:p="http://schemas.microsoft.com/office/2006/metadata/properties" xmlns:ns2="7a2ce8f2-2204-4367-a41c-b735e7c03037" xmlns:ns3="f53cdae7-58e9-463a-80c4-ff1f1a52caeb" targetNamespace="http://schemas.microsoft.com/office/2006/metadata/properties" ma:root="true" ma:fieldsID="1733b412cddd9f821d661af390973bad" ns2:_="" ns3:_="">
    <xsd:import namespace="7a2ce8f2-2204-4367-a41c-b735e7c03037"/>
    <xsd:import namespace="f53cdae7-58e9-463a-80c4-ff1f1a52ca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e8f2-2204-4367-a41c-b735e7c030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f481388-e4f2-439f-bf9b-2973949102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" ma:index="26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cdae7-58e9-463a-80c4-ff1f1a52cae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80ac432-b52e-4b43-bc4d-225ae3d48219}" ma:internalName="TaxCatchAll" ma:showField="CatchAllData" ma:web="f53cdae7-58e9-463a-80c4-ff1f1a52ca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3296EB-6EE8-4120-9EBF-72BCE60350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F37811-5B39-40AB-A48E-E8D821EC7E51}">
  <ds:schemaRefs>
    <ds:schemaRef ds:uri="http://schemas.microsoft.com/office/2006/metadata/properties"/>
    <ds:schemaRef ds:uri="http://schemas.microsoft.com/office/infopath/2007/PartnerControls"/>
    <ds:schemaRef ds:uri="f53cdae7-58e9-463a-80c4-ff1f1a52caeb"/>
    <ds:schemaRef ds:uri="7a2ce8f2-2204-4367-a41c-b735e7c03037"/>
  </ds:schemaRefs>
</ds:datastoreItem>
</file>

<file path=customXml/itemProps3.xml><?xml version="1.0" encoding="utf-8"?>
<ds:datastoreItem xmlns:ds="http://schemas.openxmlformats.org/officeDocument/2006/customXml" ds:itemID="{C671297C-EBCA-4879-B8AC-4D3F309E1D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2ce8f2-2204-4367-a41c-b735e7c03037"/>
    <ds:schemaRef ds:uri="f53cdae7-58e9-463a-80c4-ff1f1a52ca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1 Completeness</vt:lpstr>
      <vt:lpstr>Table 2 Error line list</vt:lpstr>
      <vt:lpstr>Table 3 Trend in total errors</vt:lpstr>
      <vt:lpstr>Table 4 Errors by district</vt:lpstr>
      <vt:lpstr>Table 5 Errors by region</vt:lpstr>
      <vt:lpstr>Map of errors by district</vt:lpstr>
      <vt:lpstr>Tab7 Error reasons by district</vt:lpstr>
      <vt:lpstr>Table 8 Error reasons by region</vt:lpstr>
      <vt:lpstr>Tab9 Errors - campaign summary</vt:lpstr>
      <vt:lpstr>Tab 10 Error reasons - summary</vt:lpstr>
      <vt:lpstr>Lot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Poyer  | Tropical Health</dc:creator>
  <cp:lastModifiedBy>Eleanore Sternberg | Tropical Health</cp:lastModifiedBy>
  <dcterms:created xsi:type="dcterms:W3CDTF">2025-05-06T13:05:07Z</dcterms:created>
  <dcterms:modified xsi:type="dcterms:W3CDTF">2026-03-11T16:41:20Z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0x010100BF11AF2F54683D48B47D51E7C5C20D0A</vt:lpwstr>
  </property>
  <property fmtid="{D5CDD505-2E9C-101B-9397-08002B2CF9AE}" pid="3" name="MediaServiceImageTags">
    <vt:lpwstr/>
  </property>
</Properties>
</file>